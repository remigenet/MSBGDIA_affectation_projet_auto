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emi\Downloads\Creation groupe auto\"/>
    </mc:Choice>
  </mc:AlternateContent>
  <bookViews>
    <workbookView xWindow="0" yWindow="0" windowWidth="34725" windowHeight="11835"/>
  </bookViews>
  <sheets>
    <sheet name="Choix" sheetId="1" r:id="rId1"/>
    <sheet name="Resultat avec racine" sheetId="5" r:id="rId2"/>
    <sheet name="Resultat sans Racines" sheetId="4" r:id="rId3"/>
    <sheet name="Feuil1" sheetId="3" r:id="rId4"/>
    <sheet name="Id Projet" sheetId="2" r:id="rId5"/>
  </sheets>
  <definedNames>
    <definedName name="solver_adj" localSheetId="0" hidden="1">Choix!$Z$3:$Z$32</definedName>
    <definedName name="solver_cvg" localSheetId="0" hidden="1">0.01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Choix!$AN$2</definedName>
    <definedName name="solver_lhs2" localSheetId="0" hidden="1">Choix!$AN$3</definedName>
    <definedName name="solver_lhs3" localSheetId="0" hidden="1">Choix!$Z$3:$Z$32</definedName>
    <definedName name="solver_lhs4" localSheetId="0" hidden="1">Choix!$Z$3:$Z$32</definedName>
    <definedName name="solver_lhs5" localSheetId="0" hidden="1">Choix!$Z$3:$Z$32</definedName>
    <definedName name="solver_lhs6" localSheetId="0" hidden="1">Choix!$Y$3:$Y$30</definedName>
    <definedName name="solver_mip" localSheetId="0" hidden="1">2147483647</definedName>
    <definedName name="solver_mni" localSheetId="0" hidden="1">600</definedName>
    <definedName name="solver_mrt" localSheetId="0" hidden="1">0.075</definedName>
    <definedName name="solver_msl" localSheetId="0" hidden="1">1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Choix!$AQ$2</definedName>
    <definedName name="solver_pre" localSheetId="0" hidden="1">0.01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4</definedName>
    <definedName name="solver_rel5" localSheetId="0" hidden="1">3</definedName>
    <definedName name="solver_rel6" localSheetId="0" hidden="1">3</definedName>
    <definedName name="solver_rhs1" localSheetId="0" hidden="1">5</definedName>
    <definedName name="solver_rhs2" localSheetId="0" hidden="1">4</definedName>
    <definedName name="solver_rhs3" localSheetId="0" hidden="1">Choix!$AC$2</definedName>
    <definedName name="solver_rhs4" localSheetId="0" hidden="1">entier</definedName>
    <definedName name="solver_rhs5" localSheetId="0" hidden="1">1</definedName>
    <definedName name="solver_rhs6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32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2" i="1" l="1"/>
  <c r="AA32" i="1"/>
  <c r="AB32" i="1"/>
  <c r="AA3" i="1" l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I121" i="4" l="1"/>
  <c r="Q120" i="4"/>
  <c r="A120" i="4"/>
  <c r="I119" i="4"/>
  <c r="Q118" i="4"/>
  <c r="A118" i="4"/>
  <c r="I117" i="4"/>
  <c r="Q116" i="4"/>
  <c r="A116" i="4"/>
  <c r="I115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106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105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104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103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101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100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99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98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97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96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95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93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92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90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88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87" i="4"/>
  <c r="X86" i="4"/>
  <c r="X121" i="4" s="1"/>
  <c r="W86" i="4"/>
  <c r="W121" i="4" s="1"/>
  <c r="V86" i="4"/>
  <c r="V121" i="4" s="1"/>
  <c r="U86" i="4"/>
  <c r="U121" i="4" s="1"/>
  <c r="T86" i="4"/>
  <c r="T121" i="4" s="1"/>
  <c r="S86" i="4"/>
  <c r="S121" i="4" s="1"/>
  <c r="R86" i="4"/>
  <c r="R121" i="4" s="1"/>
  <c r="Q86" i="4"/>
  <c r="Q121" i="4" s="1"/>
  <c r="P86" i="4"/>
  <c r="P121" i="4" s="1"/>
  <c r="O86" i="4"/>
  <c r="O121" i="4" s="1"/>
  <c r="N86" i="4"/>
  <c r="N121" i="4" s="1"/>
  <c r="M86" i="4"/>
  <c r="M121" i="4" s="1"/>
  <c r="L86" i="4"/>
  <c r="L121" i="4" s="1"/>
  <c r="K86" i="4"/>
  <c r="K121" i="4" s="1"/>
  <c r="J86" i="4"/>
  <c r="J121" i="4" s="1"/>
  <c r="I86" i="4"/>
  <c r="H86" i="4"/>
  <c r="H121" i="4" s="1"/>
  <c r="G86" i="4"/>
  <c r="G121" i="4" s="1"/>
  <c r="F86" i="4"/>
  <c r="F121" i="4" s="1"/>
  <c r="E86" i="4"/>
  <c r="E121" i="4" s="1"/>
  <c r="D86" i="4"/>
  <c r="D121" i="4" s="1"/>
  <c r="C86" i="4"/>
  <c r="C121" i="4" s="1"/>
  <c r="B86" i="4"/>
  <c r="B121" i="4" s="1"/>
  <c r="A86" i="4"/>
  <c r="A121" i="4" s="1"/>
  <c r="X85" i="4"/>
  <c r="X120" i="4" s="1"/>
  <c r="W85" i="4"/>
  <c r="W120" i="4" s="1"/>
  <c r="V85" i="4"/>
  <c r="V120" i="4" s="1"/>
  <c r="U85" i="4"/>
  <c r="U120" i="4" s="1"/>
  <c r="T85" i="4"/>
  <c r="T120" i="4" s="1"/>
  <c r="S85" i="4"/>
  <c r="S120" i="4" s="1"/>
  <c r="R85" i="4"/>
  <c r="R120" i="4" s="1"/>
  <c r="Q85" i="4"/>
  <c r="P85" i="4"/>
  <c r="P120" i="4" s="1"/>
  <c r="O85" i="4"/>
  <c r="O120" i="4" s="1"/>
  <c r="N85" i="4"/>
  <c r="N120" i="4" s="1"/>
  <c r="M85" i="4"/>
  <c r="M120" i="4" s="1"/>
  <c r="L85" i="4"/>
  <c r="L120" i="4" s="1"/>
  <c r="K85" i="4"/>
  <c r="K120" i="4" s="1"/>
  <c r="J85" i="4"/>
  <c r="J120" i="4" s="1"/>
  <c r="I85" i="4"/>
  <c r="I120" i="4" s="1"/>
  <c r="H85" i="4"/>
  <c r="H120" i="4" s="1"/>
  <c r="G85" i="4"/>
  <c r="G120" i="4" s="1"/>
  <c r="F85" i="4"/>
  <c r="F120" i="4" s="1"/>
  <c r="E85" i="4"/>
  <c r="E120" i="4" s="1"/>
  <c r="D85" i="4"/>
  <c r="D120" i="4" s="1"/>
  <c r="C85" i="4"/>
  <c r="C120" i="4" s="1"/>
  <c r="B85" i="4"/>
  <c r="B120" i="4" s="1"/>
  <c r="A85" i="4"/>
  <c r="X84" i="4"/>
  <c r="X119" i="4" s="1"/>
  <c r="W84" i="4"/>
  <c r="W119" i="4" s="1"/>
  <c r="V84" i="4"/>
  <c r="V119" i="4" s="1"/>
  <c r="U84" i="4"/>
  <c r="U119" i="4" s="1"/>
  <c r="T84" i="4"/>
  <c r="T119" i="4" s="1"/>
  <c r="S84" i="4"/>
  <c r="S119" i="4" s="1"/>
  <c r="R84" i="4"/>
  <c r="R119" i="4" s="1"/>
  <c r="Q84" i="4"/>
  <c r="Q119" i="4" s="1"/>
  <c r="P84" i="4"/>
  <c r="P119" i="4" s="1"/>
  <c r="O84" i="4"/>
  <c r="O119" i="4" s="1"/>
  <c r="N84" i="4"/>
  <c r="N119" i="4" s="1"/>
  <c r="M84" i="4"/>
  <c r="M119" i="4" s="1"/>
  <c r="L84" i="4"/>
  <c r="L119" i="4" s="1"/>
  <c r="K84" i="4"/>
  <c r="K119" i="4" s="1"/>
  <c r="J84" i="4"/>
  <c r="J119" i="4" s="1"/>
  <c r="I84" i="4"/>
  <c r="H84" i="4"/>
  <c r="H119" i="4" s="1"/>
  <c r="G84" i="4"/>
  <c r="G119" i="4" s="1"/>
  <c r="F84" i="4"/>
  <c r="F119" i="4" s="1"/>
  <c r="E84" i="4"/>
  <c r="E119" i="4" s="1"/>
  <c r="D84" i="4"/>
  <c r="D119" i="4" s="1"/>
  <c r="C84" i="4"/>
  <c r="C119" i="4" s="1"/>
  <c r="B84" i="4"/>
  <c r="B119" i="4" s="1"/>
  <c r="A84" i="4"/>
  <c r="A119" i="4" s="1"/>
  <c r="X83" i="4"/>
  <c r="X118" i="4" s="1"/>
  <c r="W83" i="4"/>
  <c r="W118" i="4" s="1"/>
  <c r="V83" i="4"/>
  <c r="V118" i="4" s="1"/>
  <c r="U83" i="4"/>
  <c r="U118" i="4" s="1"/>
  <c r="T83" i="4"/>
  <c r="T118" i="4" s="1"/>
  <c r="S83" i="4"/>
  <c r="S118" i="4" s="1"/>
  <c r="R83" i="4"/>
  <c r="R118" i="4" s="1"/>
  <c r="Q83" i="4"/>
  <c r="P83" i="4"/>
  <c r="P118" i="4" s="1"/>
  <c r="O83" i="4"/>
  <c r="O118" i="4" s="1"/>
  <c r="N83" i="4"/>
  <c r="N118" i="4" s="1"/>
  <c r="M83" i="4"/>
  <c r="M118" i="4" s="1"/>
  <c r="L83" i="4"/>
  <c r="L118" i="4" s="1"/>
  <c r="K83" i="4"/>
  <c r="K118" i="4" s="1"/>
  <c r="J83" i="4"/>
  <c r="J118" i="4" s="1"/>
  <c r="I83" i="4"/>
  <c r="I118" i="4" s="1"/>
  <c r="H83" i="4"/>
  <c r="H118" i="4" s="1"/>
  <c r="G83" i="4"/>
  <c r="G118" i="4" s="1"/>
  <c r="F83" i="4"/>
  <c r="F118" i="4" s="1"/>
  <c r="E83" i="4"/>
  <c r="E118" i="4" s="1"/>
  <c r="D83" i="4"/>
  <c r="D118" i="4" s="1"/>
  <c r="C83" i="4"/>
  <c r="C118" i="4" s="1"/>
  <c r="B83" i="4"/>
  <c r="B118" i="4" s="1"/>
  <c r="A83" i="4"/>
  <c r="X82" i="4"/>
  <c r="X117" i="4" s="1"/>
  <c r="W82" i="4"/>
  <c r="W117" i="4" s="1"/>
  <c r="V82" i="4"/>
  <c r="V117" i="4" s="1"/>
  <c r="U82" i="4"/>
  <c r="U117" i="4" s="1"/>
  <c r="T82" i="4"/>
  <c r="T117" i="4" s="1"/>
  <c r="S82" i="4"/>
  <c r="S117" i="4" s="1"/>
  <c r="R82" i="4"/>
  <c r="R117" i="4" s="1"/>
  <c r="Q82" i="4"/>
  <c r="Q117" i="4" s="1"/>
  <c r="P82" i="4"/>
  <c r="P117" i="4" s="1"/>
  <c r="O82" i="4"/>
  <c r="O117" i="4" s="1"/>
  <c r="N82" i="4"/>
  <c r="N117" i="4" s="1"/>
  <c r="M82" i="4"/>
  <c r="M117" i="4" s="1"/>
  <c r="L82" i="4"/>
  <c r="L117" i="4" s="1"/>
  <c r="K82" i="4"/>
  <c r="K117" i="4" s="1"/>
  <c r="J82" i="4"/>
  <c r="J117" i="4" s="1"/>
  <c r="I82" i="4"/>
  <c r="H82" i="4"/>
  <c r="H117" i="4" s="1"/>
  <c r="G82" i="4"/>
  <c r="G117" i="4" s="1"/>
  <c r="F82" i="4"/>
  <c r="F117" i="4" s="1"/>
  <c r="E82" i="4"/>
  <c r="E117" i="4" s="1"/>
  <c r="D82" i="4"/>
  <c r="D117" i="4" s="1"/>
  <c r="C82" i="4"/>
  <c r="C117" i="4" s="1"/>
  <c r="B82" i="4"/>
  <c r="B117" i="4" s="1"/>
  <c r="A82" i="4"/>
  <c r="A117" i="4" s="1"/>
  <c r="X81" i="4"/>
  <c r="X116" i="4" s="1"/>
  <c r="W81" i="4"/>
  <c r="W116" i="4" s="1"/>
  <c r="V81" i="4"/>
  <c r="V116" i="4" s="1"/>
  <c r="U81" i="4"/>
  <c r="U116" i="4" s="1"/>
  <c r="T81" i="4"/>
  <c r="T116" i="4" s="1"/>
  <c r="S81" i="4"/>
  <c r="S116" i="4" s="1"/>
  <c r="R81" i="4"/>
  <c r="R116" i="4" s="1"/>
  <c r="Q81" i="4"/>
  <c r="P81" i="4"/>
  <c r="P116" i="4" s="1"/>
  <c r="O81" i="4"/>
  <c r="O116" i="4" s="1"/>
  <c r="N81" i="4"/>
  <c r="N116" i="4" s="1"/>
  <c r="M81" i="4"/>
  <c r="M116" i="4" s="1"/>
  <c r="L81" i="4"/>
  <c r="L116" i="4" s="1"/>
  <c r="K81" i="4"/>
  <c r="K116" i="4" s="1"/>
  <c r="J81" i="4"/>
  <c r="J116" i="4" s="1"/>
  <c r="I81" i="4"/>
  <c r="I116" i="4" s="1"/>
  <c r="H81" i="4"/>
  <c r="H116" i="4" s="1"/>
  <c r="G81" i="4"/>
  <c r="G116" i="4" s="1"/>
  <c r="F81" i="4"/>
  <c r="F116" i="4" s="1"/>
  <c r="E81" i="4"/>
  <c r="E116" i="4" s="1"/>
  <c r="D81" i="4"/>
  <c r="D116" i="4" s="1"/>
  <c r="C81" i="4"/>
  <c r="C116" i="4" s="1"/>
  <c r="B81" i="4"/>
  <c r="B116" i="4" s="1"/>
  <c r="A81" i="4"/>
  <c r="X80" i="4"/>
  <c r="X115" i="4" s="1"/>
  <c r="W80" i="4"/>
  <c r="W115" i="4" s="1"/>
  <c r="V80" i="4"/>
  <c r="V115" i="4" s="1"/>
  <c r="U80" i="4"/>
  <c r="U115" i="4" s="1"/>
  <c r="T80" i="4"/>
  <c r="T115" i="4" s="1"/>
  <c r="S80" i="4"/>
  <c r="S115" i="4" s="1"/>
  <c r="R80" i="4"/>
  <c r="R115" i="4" s="1"/>
  <c r="Q80" i="4"/>
  <c r="Q115" i="4" s="1"/>
  <c r="P80" i="4"/>
  <c r="P115" i="4" s="1"/>
  <c r="O80" i="4"/>
  <c r="O115" i="4" s="1"/>
  <c r="N80" i="4"/>
  <c r="N115" i="4" s="1"/>
  <c r="M80" i="4"/>
  <c r="M115" i="4" s="1"/>
  <c r="L80" i="4"/>
  <c r="L115" i="4" s="1"/>
  <c r="K80" i="4"/>
  <c r="K115" i="4" s="1"/>
  <c r="J80" i="4"/>
  <c r="J115" i="4" s="1"/>
  <c r="I80" i="4"/>
  <c r="H80" i="4"/>
  <c r="H115" i="4" s="1"/>
  <c r="G80" i="4"/>
  <c r="G115" i="4" s="1"/>
  <c r="F80" i="4"/>
  <c r="F115" i="4" s="1"/>
  <c r="E80" i="4"/>
  <c r="E115" i="4" s="1"/>
  <c r="D80" i="4"/>
  <c r="D115" i="4" s="1"/>
  <c r="C80" i="4"/>
  <c r="C115" i="4" s="1"/>
  <c r="B80" i="4"/>
  <c r="B115" i="4" s="1"/>
  <c r="A80" i="4"/>
  <c r="A115" i="4" s="1"/>
  <c r="AB31" i="4"/>
  <c r="AA31" i="4"/>
  <c r="AB30" i="4"/>
  <c r="AA30" i="4"/>
  <c r="AB29" i="4"/>
  <c r="AA29" i="4"/>
  <c r="AB28" i="4"/>
  <c r="AA28" i="4"/>
  <c r="AB27" i="4"/>
  <c r="AA27" i="4"/>
  <c r="AB26" i="4"/>
  <c r="AA26" i="4"/>
  <c r="AB25" i="4"/>
  <c r="AA25" i="4"/>
  <c r="AB24" i="4"/>
  <c r="AA24" i="4"/>
  <c r="AB23" i="4"/>
  <c r="AA23" i="4"/>
  <c r="AB22" i="4"/>
  <c r="AA22" i="4"/>
  <c r="AB21" i="4"/>
  <c r="AA21" i="4"/>
  <c r="AB20" i="4"/>
  <c r="AA20" i="4"/>
  <c r="AB19" i="4"/>
  <c r="AA19" i="4"/>
  <c r="AB18" i="4"/>
  <c r="AA18" i="4"/>
  <c r="AE17" i="4"/>
  <c r="AH17" i="4" s="1" a="1"/>
  <c r="AH17" i="4" s="1"/>
  <c r="AB17" i="4"/>
  <c r="AA17" i="4"/>
  <c r="AH16" i="4"/>
  <c r="AE16" i="4"/>
  <c r="AH16" i="4" s="1" a="1"/>
  <c r="AB16" i="4"/>
  <c r="AA16" i="4"/>
  <c r="AH15" i="4"/>
  <c r="AE15" i="4"/>
  <c r="AH15" i="4" s="1" a="1"/>
  <c r="AB15" i="4"/>
  <c r="AA15" i="4"/>
  <c r="AE14" i="4"/>
  <c r="AH14" i="4" s="1" a="1"/>
  <c r="AH14" i="4" s="1"/>
  <c r="AB14" i="4"/>
  <c r="AA14" i="4"/>
  <c r="AE13" i="4"/>
  <c r="AB13" i="4"/>
  <c r="AA13" i="4"/>
  <c r="AE12" i="4"/>
  <c r="AB12" i="4"/>
  <c r="AA12" i="4"/>
  <c r="AE11" i="4"/>
  <c r="AB11" i="4"/>
  <c r="AA11" i="4"/>
  <c r="AE10" i="4"/>
  <c r="AB10" i="4"/>
  <c r="AA10" i="4"/>
  <c r="AE9" i="4"/>
  <c r="AA9" i="4"/>
  <c r="AI8" i="4" a="1"/>
  <c r="AI8" i="4" s="1"/>
  <c r="AH8" i="4" a="1"/>
  <c r="AH8" i="4" s="1"/>
  <c r="AG8" i="4" a="1"/>
  <c r="AG8" i="4" s="1"/>
  <c r="AF8" i="4" a="1"/>
  <c r="AF8" i="4" s="1"/>
  <c r="AJ8" i="4" s="1"/>
  <c r="AE8" i="4"/>
  <c r="AB8" i="4"/>
  <c r="AA8" i="4"/>
  <c r="AI7" i="4" a="1"/>
  <c r="AI7" i="4" s="1"/>
  <c r="AH7" i="4" a="1"/>
  <c r="AH7" i="4" s="1"/>
  <c r="AG7" i="4" a="1"/>
  <c r="AG7" i="4" s="1"/>
  <c r="AF7" i="4" a="1"/>
  <c r="AF7" i="4" s="1"/>
  <c r="AJ7" i="4" s="1"/>
  <c r="AE7" i="4"/>
  <c r="AB7" i="4"/>
  <c r="AA7" i="4"/>
  <c r="AI6" i="4" a="1"/>
  <c r="AI6" i="4" s="1"/>
  <c r="AH6" i="4" a="1"/>
  <c r="AH6" i="4" s="1"/>
  <c r="AG6" i="4" a="1"/>
  <c r="AG6" i="4" s="1"/>
  <c r="AF6" i="4" a="1"/>
  <c r="AF6" i="4" s="1"/>
  <c r="AJ6" i="4" s="1"/>
  <c r="AE6" i="4"/>
  <c r="AB6" i="4"/>
  <c r="AA6" i="4"/>
  <c r="AI5" i="4" a="1"/>
  <c r="AI5" i="4" s="1"/>
  <c r="AH5" i="4" a="1"/>
  <c r="AH5" i="4" s="1"/>
  <c r="AG5" i="4" a="1"/>
  <c r="AG5" i="4" s="1"/>
  <c r="AF5" i="4" a="1"/>
  <c r="AF5" i="4" s="1"/>
  <c r="AJ5" i="4" s="1"/>
  <c r="AE5" i="4"/>
  <c r="AB5" i="4"/>
  <c r="AA5" i="4"/>
  <c r="AG4" i="4" a="1"/>
  <c r="AG4" i="4" s="1"/>
  <c r="AE4" i="4" a="1"/>
  <c r="AE4" i="4" s="1"/>
  <c r="AH4" i="4" s="1" a="1"/>
  <c r="AH4" i="4" s="1"/>
  <c r="AB4" i="4"/>
  <c r="AA4" i="4"/>
  <c r="AI3" i="4" a="1"/>
  <c r="AI3" i="4" s="1"/>
  <c r="AH3" i="4" a="1"/>
  <c r="AH3" i="4" s="1"/>
  <c r="AG3" i="4" a="1"/>
  <c r="AG3" i="4" s="1"/>
  <c r="AF3" i="4" a="1"/>
  <c r="AF3" i="4" s="1"/>
  <c r="AJ3" i="4" s="1"/>
  <c r="AE3" i="4"/>
  <c r="AB3" i="4"/>
  <c r="AA3" i="4"/>
  <c r="P2" i="4"/>
  <c r="Q2" i="4" s="1"/>
  <c r="R2" i="4" s="1"/>
  <c r="S2" i="4" s="1"/>
  <c r="T2" i="4" s="1"/>
  <c r="U2" i="4" s="1"/>
  <c r="V2" i="4" s="1"/>
  <c r="W2" i="4" s="1"/>
  <c r="X2" i="4" s="1"/>
  <c r="O2" i="4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X113" i="5"/>
  <c r="W113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X112" i="5"/>
  <c r="W112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X110" i="5"/>
  <c r="W110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X108" i="5"/>
  <c r="W108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X107" i="5"/>
  <c r="W107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99" i="5"/>
  <c r="A99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8" i="5"/>
  <c r="D98" i="5"/>
  <c r="C98" i="5"/>
  <c r="B98" i="5"/>
  <c r="A98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G97" i="5"/>
  <c r="F97" i="5"/>
  <c r="E97" i="5"/>
  <c r="D97" i="5"/>
  <c r="C97" i="5"/>
  <c r="B97" i="5"/>
  <c r="A97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B96" i="5"/>
  <c r="A96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C94" i="5"/>
  <c r="B94" i="5"/>
  <c r="A94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93" i="5"/>
  <c r="A93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C92" i="5"/>
  <c r="B92" i="5"/>
  <c r="A92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90" i="5"/>
  <c r="A90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89" i="5"/>
  <c r="A89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88" i="5"/>
  <c r="A88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X86" i="5"/>
  <c r="X121" i="5" s="1"/>
  <c r="W86" i="5"/>
  <c r="W121" i="5" s="1"/>
  <c r="V86" i="5"/>
  <c r="V121" i="5" s="1"/>
  <c r="U86" i="5"/>
  <c r="U121" i="5" s="1"/>
  <c r="T86" i="5"/>
  <c r="T121" i="5" s="1"/>
  <c r="S86" i="5"/>
  <c r="S121" i="5" s="1"/>
  <c r="R86" i="5"/>
  <c r="R121" i="5" s="1"/>
  <c r="Q86" i="5"/>
  <c r="Q121" i="5" s="1"/>
  <c r="P86" i="5"/>
  <c r="P121" i="5" s="1"/>
  <c r="O86" i="5"/>
  <c r="O121" i="5" s="1"/>
  <c r="N86" i="5"/>
  <c r="N121" i="5" s="1"/>
  <c r="M86" i="5"/>
  <c r="M121" i="5" s="1"/>
  <c r="L86" i="5"/>
  <c r="L121" i="5" s="1"/>
  <c r="K86" i="5"/>
  <c r="K121" i="5" s="1"/>
  <c r="J86" i="5"/>
  <c r="J121" i="5" s="1"/>
  <c r="I86" i="5"/>
  <c r="I121" i="5" s="1"/>
  <c r="H86" i="5"/>
  <c r="H121" i="5" s="1"/>
  <c r="G86" i="5"/>
  <c r="G121" i="5" s="1"/>
  <c r="F86" i="5"/>
  <c r="F121" i="5" s="1"/>
  <c r="E86" i="5"/>
  <c r="E121" i="5" s="1"/>
  <c r="D86" i="5"/>
  <c r="D121" i="5" s="1"/>
  <c r="C86" i="5"/>
  <c r="C121" i="5" s="1"/>
  <c r="B86" i="5"/>
  <c r="B121" i="5" s="1"/>
  <c r="A86" i="5"/>
  <c r="A121" i="5" s="1"/>
  <c r="X85" i="5"/>
  <c r="X120" i="5" s="1"/>
  <c r="W85" i="5"/>
  <c r="W120" i="5" s="1"/>
  <c r="V85" i="5"/>
  <c r="V120" i="5" s="1"/>
  <c r="U85" i="5"/>
  <c r="U120" i="5" s="1"/>
  <c r="T85" i="5"/>
  <c r="T120" i="5" s="1"/>
  <c r="S85" i="5"/>
  <c r="S120" i="5" s="1"/>
  <c r="R85" i="5"/>
  <c r="R120" i="5" s="1"/>
  <c r="Q85" i="5"/>
  <c r="Q120" i="5" s="1"/>
  <c r="P85" i="5"/>
  <c r="P120" i="5" s="1"/>
  <c r="O85" i="5"/>
  <c r="O120" i="5" s="1"/>
  <c r="N85" i="5"/>
  <c r="N120" i="5" s="1"/>
  <c r="M85" i="5"/>
  <c r="M120" i="5" s="1"/>
  <c r="L85" i="5"/>
  <c r="L120" i="5" s="1"/>
  <c r="K85" i="5"/>
  <c r="K120" i="5" s="1"/>
  <c r="J85" i="5"/>
  <c r="J120" i="5" s="1"/>
  <c r="I85" i="5"/>
  <c r="I120" i="5" s="1"/>
  <c r="H85" i="5"/>
  <c r="H120" i="5" s="1"/>
  <c r="G85" i="5"/>
  <c r="G120" i="5" s="1"/>
  <c r="F85" i="5"/>
  <c r="F120" i="5" s="1"/>
  <c r="E85" i="5"/>
  <c r="E120" i="5" s="1"/>
  <c r="D85" i="5"/>
  <c r="D120" i="5" s="1"/>
  <c r="C85" i="5"/>
  <c r="C120" i="5" s="1"/>
  <c r="B85" i="5"/>
  <c r="B120" i="5" s="1"/>
  <c r="A85" i="5"/>
  <c r="A120" i="5" s="1"/>
  <c r="X84" i="5"/>
  <c r="X119" i="5" s="1"/>
  <c r="W84" i="5"/>
  <c r="W119" i="5" s="1"/>
  <c r="V84" i="5"/>
  <c r="V119" i="5" s="1"/>
  <c r="U84" i="5"/>
  <c r="U119" i="5" s="1"/>
  <c r="T84" i="5"/>
  <c r="T119" i="5" s="1"/>
  <c r="S84" i="5"/>
  <c r="S119" i="5" s="1"/>
  <c r="R84" i="5"/>
  <c r="R119" i="5" s="1"/>
  <c r="Q84" i="5"/>
  <c r="Q119" i="5" s="1"/>
  <c r="P84" i="5"/>
  <c r="P119" i="5" s="1"/>
  <c r="O84" i="5"/>
  <c r="O119" i="5" s="1"/>
  <c r="N84" i="5"/>
  <c r="N119" i="5" s="1"/>
  <c r="M84" i="5"/>
  <c r="M119" i="5" s="1"/>
  <c r="L84" i="5"/>
  <c r="L119" i="5" s="1"/>
  <c r="K84" i="5"/>
  <c r="K119" i="5" s="1"/>
  <c r="J84" i="5"/>
  <c r="J119" i="5" s="1"/>
  <c r="I84" i="5"/>
  <c r="I119" i="5" s="1"/>
  <c r="H84" i="5"/>
  <c r="H119" i="5" s="1"/>
  <c r="G84" i="5"/>
  <c r="G119" i="5" s="1"/>
  <c r="F84" i="5"/>
  <c r="F119" i="5" s="1"/>
  <c r="E84" i="5"/>
  <c r="E119" i="5" s="1"/>
  <c r="D84" i="5"/>
  <c r="D119" i="5" s="1"/>
  <c r="C84" i="5"/>
  <c r="C119" i="5" s="1"/>
  <c r="B84" i="5"/>
  <c r="B119" i="5" s="1"/>
  <c r="A84" i="5"/>
  <c r="A119" i="5" s="1"/>
  <c r="X83" i="5"/>
  <c r="X118" i="5" s="1"/>
  <c r="W83" i="5"/>
  <c r="W118" i="5" s="1"/>
  <c r="V83" i="5"/>
  <c r="V118" i="5" s="1"/>
  <c r="U83" i="5"/>
  <c r="U118" i="5" s="1"/>
  <c r="T83" i="5"/>
  <c r="T118" i="5" s="1"/>
  <c r="S83" i="5"/>
  <c r="S118" i="5" s="1"/>
  <c r="R83" i="5"/>
  <c r="R118" i="5" s="1"/>
  <c r="Q83" i="5"/>
  <c r="Q118" i="5" s="1"/>
  <c r="P83" i="5"/>
  <c r="P118" i="5" s="1"/>
  <c r="O83" i="5"/>
  <c r="O118" i="5" s="1"/>
  <c r="N83" i="5"/>
  <c r="N118" i="5" s="1"/>
  <c r="M83" i="5"/>
  <c r="M118" i="5" s="1"/>
  <c r="L83" i="5"/>
  <c r="L118" i="5" s="1"/>
  <c r="K83" i="5"/>
  <c r="K118" i="5" s="1"/>
  <c r="J83" i="5"/>
  <c r="J118" i="5" s="1"/>
  <c r="I83" i="5"/>
  <c r="I118" i="5" s="1"/>
  <c r="H83" i="5"/>
  <c r="H118" i="5" s="1"/>
  <c r="G83" i="5"/>
  <c r="G118" i="5" s="1"/>
  <c r="F83" i="5"/>
  <c r="F118" i="5" s="1"/>
  <c r="E83" i="5"/>
  <c r="E118" i="5" s="1"/>
  <c r="D83" i="5"/>
  <c r="D118" i="5" s="1"/>
  <c r="C83" i="5"/>
  <c r="C118" i="5" s="1"/>
  <c r="B83" i="5"/>
  <c r="B118" i="5" s="1"/>
  <c r="A83" i="5"/>
  <c r="A118" i="5" s="1"/>
  <c r="X82" i="5"/>
  <c r="X117" i="5" s="1"/>
  <c r="W82" i="5"/>
  <c r="W117" i="5" s="1"/>
  <c r="V82" i="5"/>
  <c r="V117" i="5" s="1"/>
  <c r="U82" i="5"/>
  <c r="U117" i="5" s="1"/>
  <c r="T82" i="5"/>
  <c r="T117" i="5" s="1"/>
  <c r="S82" i="5"/>
  <c r="S117" i="5" s="1"/>
  <c r="R82" i="5"/>
  <c r="R117" i="5" s="1"/>
  <c r="Q82" i="5"/>
  <c r="Q117" i="5" s="1"/>
  <c r="P82" i="5"/>
  <c r="P117" i="5" s="1"/>
  <c r="O82" i="5"/>
  <c r="O117" i="5" s="1"/>
  <c r="N82" i="5"/>
  <c r="N117" i="5" s="1"/>
  <c r="M82" i="5"/>
  <c r="M117" i="5" s="1"/>
  <c r="L82" i="5"/>
  <c r="L117" i="5" s="1"/>
  <c r="K82" i="5"/>
  <c r="K117" i="5" s="1"/>
  <c r="J82" i="5"/>
  <c r="J117" i="5" s="1"/>
  <c r="I82" i="5"/>
  <c r="I117" i="5" s="1"/>
  <c r="H82" i="5"/>
  <c r="H117" i="5" s="1"/>
  <c r="G82" i="5"/>
  <c r="G117" i="5" s="1"/>
  <c r="F82" i="5"/>
  <c r="F117" i="5" s="1"/>
  <c r="E82" i="5"/>
  <c r="E117" i="5" s="1"/>
  <c r="D82" i="5"/>
  <c r="D117" i="5" s="1"/>
  <c r="C82" i="5"/>
  <c r="C117" i="5" s="1"/>
  <c r="B82" i="5"/>
  <c r="B117" i="5" s="1"/>
  <c r="A82" i="5"/>
  <c r="A117" i="5" s="1"/>
  <c r="X81" i="5"/>
  <c r="X116" i="5" s="1"/>
  <c r="W81" i="5"/>
  <c r="W116" i="5" s="1"/>
  <c r="V81" i="5"/>
  <c r="V116" i="5" s="1"/>
  <c r="U81" i="5"/>
  <c r="U116" i="5" s="1"/>
  <c r="T81" i="5"/>
  <c r="T116" i="5" s="1"/>
  <c r="S81" i="5"/>
  <c r="S116" i="5" s="1"/>
  <c r="R81" i="5"/>
  <c r="R116" i="5" s="1"/>
  <c r="Q81" i="5"/>
  <c r="Q116" i="5" s="1"/>
  <c r="P81" i="5"/>
  <c r="P116" i="5" s="1"/>
  <c r="O81" i="5"/>
  <c r="O116" i="5" s="1"/>
  <c r="N81" i="5"/>
  <c r="N116" i="5" s="1"/>
  <c r="M81" i="5"/>
  <c r="M116" i="5" s="1"/>
  <c r="L81" i="5"/>
  <c r="L116" i="5" s="1"/>
  <c r="K81" i="5"/>
  <c r="K116" i="5" s="1"/>
  <c r="J81" i="5"/>
  <c r="J116" i="5" s="1"/>
  <c r="I81" i="5"/>
  <c r="I116" i="5" s="1"/>
  <c r="H81" i="5"/>
  <c r="H116" i="5" s="1"/>
  <c r="G81" i="5"/>
  <c r="G116" i="5" s="1"/>
  <c r="F81" i="5"/>
  <c r="F116" i="5" s="1"/>
  <c r="E81" i="5"/>
  <c r="E116" i="5" s="1"/>
  <c r="D81" i="5"/>
  <c r="D116" i="5" s="1"/>
  <c r="C81" i="5"/>
  <c r="C116" i="5" s="1"/>
  <c r="B81" i="5"/>
  <c r="B116" i="5" s="1"/>
  <c r="A81" i="5"/>
  <c r="A116" i="5" s="1"/>
  <c r="X80" i="5"/>
  <c r="X115" i="5" s="1"/>
  <c r="W80" i="5"/>
  <c r="W115" i="5" s="1"/>
  <c r="V80" i="5"/>
  <c r="V115" i="5" s="1"/>
  <c r="U80" i="5"/>
  <c r="U115" i="5" s="1"/>
  <c r="T80" i="5"/>
  <c r="T115" i="5" s="1"/>
  <c r="S80" i="5"/>
  <c r="S115" i="5" s="1"/>
  <c r="R80" i="5"/>
  <c r="R115" i="5" s="1"/>
  <c r="Q80" i="5"/>
  <c r="Q115" i="5" s="1"/>
  <c r="P80" i="5"/>
  <c r="P115" i="5" s="1"/>
  <c r="O80" i="5"/>
  <c r="O115" i="5" s="1"/>
  <c r="N80" i="5"/>
  <c r="N115" i="5" s="1"/>
  <c r="M80" i="5"/>
  <c r="M115" i="5" s="1"/>
  <c r="L80" i="5"/>
  <c r="L115" i="5" s="1"/>
  <c r="K80" i="5"/>
  <c r="K115" i="5" s="1"/>
  <c r="J80" i="5"/>
  <c r="J115" i="5" s="1"/>
  <c r="I80" i="5"/>
  <c r="I115" i="5" s="1"/>
  <c r="H80" i="5"/>
  <c r="H115" i="5" s="1"/>
  <c r="G80" i="5"/>
  <c r="G115" i="5" s="1"/>
  <c r="F80" i="5"/>
  <c r="F115" i="5" s="1"/>
  <c r="E80" i="5"/>
  <c r="E115" i="5" s="1"/>
  <c r="D80" i="5"/>
  <c r="D115" i="5" s="1"/>
  <c r="C80" i="5"/>
  <c r="C115" i="5" s="1"/>
  <c r="B80" i="5"/>
  <c r="B115" i="5" s="1"/>
  <c r="A80" i="5"/>
  <c r="A115" i="5" s="1"/>
  <c r="AB31" i="5"/>
  <c r="AA31" i="5"/>
  <c r="AB30" i="5"/>
  <c r="AA30" i="5"/>
  <c r="AB29" i="5"/>
  <c r="AA29" i="5"/>
  <c r="AB28" i="5"/>
  <c r="AA28" i="5"/>
  <c r="AB27" i="5"/>
  <c r="AA27" i="5"/>
  <c r="AB26" i="5"/>
  <c r="AA26" i="5"/>
  <c r="AB25" i="5"/>
  <c r="AA25" i="5"/>
  <c r="AB24" i="5"/>
  <c r="AA24" i="5"/>
  <c r="AB23" i="5"/>
  <c r="AA23" i="5"/>
  <c r="AB22" i="5"/>
  <c r="AA22" i="5"/>
  <c r="AB21" i="5"/>
  <c r="AA21" i="5"/>
  <c r="AB20" i="5"/>
  <c r="AA20" i="5"/>
  <c r="AB19" i="5"/>
  <c r="AA19" i="5"/>
  <c r="AB18" i="5"/>
  <c r="AA18" i="5"/>
  <c r="AI17" i="5" a="1"/>
  <c r="AI17" i="5" s="1"/>
  <c r="AH17" i="5"/>
  <c r="AG17" i="5" a="1"/>
  <c r="AG17" i="5" s="1"/>
  <c r="AE17" i="5"/>
  <c r="AH17" i="5" s="1" a="1"/>
  <c r="AB17" i="5"/>
  <c r="AA17" i="5"/>
  <c r="AI16" i="5" a="1"/>
  <c r="AI16" i="5" s="1"/>
  <c r="AG16" i="5" a="1"/>
  <c r="AG16" i="5" s="1"/>
  <c r="AE16" i="5"/>
  <c r="AH16" i="5" s="1" a="1"/>
  <c r="AH16" i="5" s="1"/>
  <c r="AB16" i="5"/>
  <c r="AA16" i="5"/>
  <c r="AI15" i="5" a="1"/>
  <c r="AI15" i="5" s="1"/>
  <c r="AH15" i="5"/>
  <c r="AG15" i="5" a="1"/>
  <c r="AG15" i="5" s="1"/>
  <c r="AE15" i="5"/>
  <c r="AH15" i="5" s="1" a="1"/>
  <c r="AB15" i="5"/>
  <c r="AA15" i="5"/>
  <c r="AI14" i="5" a="1"/>
  <c r="AI14" i="5" s="1"/>
  <c r="AH14" i="5"/>
  <c r="AG14" i="5" a="1"/>
  <c r="AG14" i="5" s="1"/>
  <c r="AE14" i="5"/>
  <c r="AH14" i="5" s="1" a="1"/>
  <c r="AB14" i="5"/>
  <c r="AA14" i="5"/>
  <c r="AI13" i="5" a="1"/>
  <c r="AI13" i="5" s="1"/>
  <c r="AH13" i="5"/>
  <c r="AG13" i="5" a="1"/>
  <c r="AG13" i="5" s="1"/>
  <c r="AE13" i="5"/>
  <c r="AH13" i="5" s="1" a="1"/>
  <c r="AB13" i="5"/>
  <c r="AA13" i="5"/>
  <c r="AI12" i="5" a="1"/>
  <c r="AI12" i="5" s="1"/>
  <c r="AG12" i="5" a="1"/>
  <c r="AG12" i="5" s="1"/>
  <c r="AE12" i="5"/>
  <c r="AH12" i="5" s="1" a="1"/>
  <c r="AH12" i="5" s="1"/>
  <c r="AB12" i="5"/>
  <c r="AA12" i="5"/>
  <c r="AI11" i="5" a="1"/>
  <c r="AI11" i="5" s="1"/>
  <c r="AG11" i="5" a="1"/>
  <c r="AG11" i="5" s="1"/>
  <c r="AE11" i="5"/>
  <c r="AB11" i="5"/>
  <c r="AA11" i="5"/>
  <c r="AG10" i="5" a="1"/>
  <c r="AG10" i="5" s="1"/>
  <c r="AE10" i="5"/>
  <c r="AB10" i="5"/>
  <c r="AA10" i="5"/>
  <c r="AE9" i="5"/>
  <c r="AA9" i="5"/>
  <c r="AI8" i="5" a="1"/>
  <c r="AI8" i="5" s="1"/>
  <c r="AH8" i="5" a="1"/>
  <c r="AH8" i="5" s="1"/>
  <c r="AG8" i="5" a="1"/>
  <c r="AG8" i="5" s="1"/>
  <c r="AF8" i="5" a="1"/>
  <c r="AF8" i="5" s="1"/>
  <c r="AE8" i="5"/>
  <c r="AB8" i="5"/>
  <c r="AA8" i="5"/>
  <c r="AI7" i="5" a="1"/>
  <c r="AI7" i="5" s="1"/>
  <c r="AH7" i="5" a="1"/>
  <c r="AH7" i="5" s="1"/>
  <c r="AG7" i="5" a="1"/>
  <c r="AG7" i="5" s="1"/>
  <c r="AF7" i="5"/>
  <c r="AJ7" i="5" s="1"/>
  <c r="AF7" i="5" a="1"/>
  <c r="AE7" i="5"/>
  <c r="AB7" i="5"/>
  <c r="AA7" i="5"/>
  <c r="AI6" i="5" a="1"/>
  <c r="AI6" i="5" s="1"/>
  <c r="AH6" i="5" a="1"/>
  <c r="AH6" i="5" s="1"/>
  <c r="AG6" i="5" a="1"/>
  <c r="AG6" i="5" s="1"/>
  <c r="AF6" i="5" a="1"/>
  <c r="AF6" i="5" s="1"/>
  <c r="AJ6" i="5" s="1"/>
  <c r="AE6" i="5"/>
  <c r="AB6" i="5"/>
  <c r="AA6" i="5"/>
  <c r="AI5" i="5" a="1"/>
  <c r="AI5" i="5" s="1"/>
  <c r="AH5" i="5" a="1"/>
  <c r="AH5" i="5" s="1"/>
  <c r="AG5" i="5" a="1"/>
  <c r="AG5" i="5" s="1"/>
  <c r="AF5" i="5"/>
  <c r="AJ5" i="5" s="1"/>
  <c r="AF5" i="5" a="1"/>
  <c r="AE5" i="5"/>
  <c r="AB5" i="5"/>
  <c r="AA5" i="5"/>
  <c r="AE4" i="5" a="1"/>
  <c r="AE4" i="5" s="1"/>
  <c r="AG4" i="5" s="1" a="1"/>
  <c r="AG4" i="5" s="1"/>
  <c r="AB4" i="5"/>
  <c r="AA4" i="5"/>
  <c r="AG3" i="5" a="1"/>
  <c r="AG3" i="5" s="1"/>
  <c r="AE3" i="5"/>
  <c r="AB3" i="5"/>
  <c r="AA3" i="5"/>
  <c r="O2" i="5"/>
  <c r="P2" i="5" s="1"/>
  <c r="Q2" i="5" s="1"/>
  <c r="R2" i="5" s="1"/>
  <c r="S2" i="5" s="1"/>
  <c r="T2" i="5" s="1"/>
  <c r="U2" i="5" s="1"/>
  <c r="V2" i="5" s="1"/>
  <c r="W2" i="5" s="1"/>
  <c r="X2" i="5" s="1"/>
  <c r="AE12" i="1"/>
  <c r="AH12" i="1" s="1" a="1"/>
  <c r="AH12" i="1" s="1"/>
  <c r="AE11" i="1"/>
  <c r="AB31" i="1"/>
  <c r="A81" i="1"/>
  <c r="B81" i="1"/>
  <c r="C81" i="1"/>
  <c r="C116" i="1" s="1"/>
  <c r="D81" i="1"/>
  <c r="D116" i="1" s="1"/>
  <c r="E81" i="1"/>
  <c r="F81" i="1"/>
  <c r="G81" i="1"/>
  <c r="G116" i="1" s="1"/>
  <c r="H81" i="1"/>
  <c r="H116" i="1" s="1"/>
  <c r="I81" i="1"/>
  <c r="J81" i="1"/>
  <c r="K81" i="1"/>
  <c r="K116" i="1" s="1"/>
  <c r="L81" i="1"/>
  <c r="L116" i="1" s="1"/>
  <c r="M81" i="1"/>
  <c r="N81" i="1"/>
  <c r="O81" i="1"/>
  <c r="O116" i="1" s="1"/>
  <c r="P81" i="1"/>
  <c r="P116" i="1" s="1"/>
  <c r="Q81" i="1"/>
  <c r="R81" i="1"/>
  <c r="S81" i="1"/>
  <c r="S116" i="1" s="1"/>
  <c r="T81" i="1"/>
  <c r="T116" i="1" s="1"/>
  <c r="U81" i="1"/>
  <c r="V81" i="1"/>
  <c r="W81" i="1"/>
  <c r="W116" i="1" s="1"/>
  <c r="X81" i="1"/>
  <c r="X116" i="1" s="1"/>
  <c r="A82" i="1"/>
  <c r="B82" i="1"/>
  <c r="C82" i="1"/>
  <c r="C117" i="1" s="1"/>
  <c r="D82" i="1"/>
  <c r="D117" i="1" s="1"/>
  <c r="E82" i="1"/>
  <c r="F82" i="1"/>
  <c r="G82" i="1"/>
  <c r="G117" i="1" s="1"/>
  <c r="H82" i="1"/>
  <c r="H117" i="1" s="1"/>
  <c r="I82" i="1"/>
  <c r="J82" i="1"/>
  <c r="K82" i="1"/>
  <c r="K117" i="1" s="1"/>
  <c r="L82" i="1"/>
  <c r="L117" i="1" s="1"/>
  <c r="M82" i="1"/>
  <c r="N82" i="1"/>
  <c r="O82" i="1"/>
  <c r="O117" i="1" s="1"/>
  <c r="P82" i="1"/>
  <c r="P117" i="1" s="1"/>
  <c r="Q82" i="1"/>
  <c r="R82" i="1"/>
  <c r="S82" i="1"/>
  <c r="S117" i="1" s="1"/>
  <c r="T82" i="1"/>
  <c r="T117" i="1" s="1"/>
  <c r="U82" i="1"/>
  <c r="V82" i="1"/>
  <c r="W82" i="1"/>
  <c r="W117" i="1" s="1"/>
  <c r="X82" i="1"/>
  <c r="X117" i="1" s="1"/>
  <c r="A83" i="1"/>
  <c r="B83" i="1"/>
  <c r="C83" i="1"/>
  <c r="C118" i="1" s="1"/>
  <c r="D83" i="1"/>
  <c r="D118" i="1" s="1"/>
  <c r="E83" i="1"/>
  <c r="F83" i="1"/>
  <c r="G83" i="1"/>
  <c r="G118" i="1" s="1"/>
  <c r="H83" i="1"/>
  <c r="H118" i="1" s="1"/>
  <c r="I83" i="1"/>
  <c r="J83" i="1"/>
  <c r="K83" i="1"/>
  <c r="K118" i="1" s="1"/>
  <c r="L83" i="1"/>
  <c r="L118" i="1" s="1"/>
  <c r="M83" i="1"/>
  <c r="N83" i="1"/>
  <c r="O83" i="1"/>
  <c r="O118" i="1" s="1"/>
  <c r="P83" i="1"/>
  <c r="P118" i="1" s="1"/>
  <c r="Q83" i="1"/>
  <c r="R83" i="1"/>
  <c r="S83" i="1"/>
  <c r="S118" i="1" s="1"/>
  <c r="T83" i="1"/>
  <c r="T118" i="1" s="1"/>
  <c r="U83" i="1"/>
  <c r="V83" i="1"/>
  <c r="W83" i="1"/>
  <c r="W118" i="1" s="1"/>
  <c r="X83" i="1"/>
  <c r="X118" i="1" s="1"/>
  <c r="A84" i="1"/>
  <c r="B84" i="1"/>
  <c r="C84" i="1"/>
  <c r="C119" i="1" s="1"/>
  <c r="D84" i="1"/>
  <c r="D119" i="1" s="1"/>
  <c r="E84" i="1"/>
  <c r="F84" i="1"/>
  <c r="G84" i="1"/>
  <c r="G119" i="1" s="1"/>
  <c r="H84" i="1"/>
  <c r="H119" i="1" s="1"/>
  <c r="I84" i="1"/>
  <c r="J84" i="1"/>
  <c r="K84" i="1"/>
  <c r="K119" i="1" s="1"/>
  <c r="L84" i="1"/>
  <c r="L119" i="1" s="1"/>
  <c r="M84" i="1"/>
  <c r="N84" i="1"/>
  <c r="O84" i="1"/>
  <c r="O119" i="1" s="1"/>
  <c r="P84" i="1"/>
  <c r="P119" i="1" s="1"/>
  <c r="Q84" i="1"/>
  <c r="R84" i="1"/>
  <c r="S84" i="1"/>
  <c r="S119" i="1" s="1"/>
  <c r="T84" i="1"/>
  <c r="T119" i="1" s="1"/>
  <c r="U84" i="1"/>
  <c r="V84" i="1"/>
  <c r="W84" i="1"/>
  <c r="W119" i="1" s="1"/>
  <c r="X84" i="1"/>
  <c r="X119" i="1" s="1"/>
  <c r="A85" i="1"/>
  <c r="B85" i="1"/>
  <c r="C85" i="1"/>
  <c r="C120" i="1" s="1"/>
  <c r="D85" i="1"/>
  <c r="D120" i="1" s="1"/>
  <c r="E85" i="1"/>
  <c r="F85" i="1"/>
  <c r="G85" i="1"/>
  <c r="G120" i="1" s="1"/>
  <c r="H85" i="1"/>
  <c r="H120" i="1" s="1"/>
  <c r="I85" i="1"/>
  <c r="J85" i="1"/>
  <c r="K85" i="1"/>
  <c r="K120" i="1" s="1"/>
  <c r="L85" i="1"/>
  <c r="L120" i="1" s="1"/>
  <c r="M85" i="1"/>
  <c r="N85" i="1"/>
  <c r="O85" i="1"/>
  <c r="O120" i="1" s="1"/>
  <c r="P85" i="1"/>
  <c r="P120" i="1" s="1"/>
  <c r="Q85" i="1"/>
  <c r="R85" i="1"/>
  <c r="S85" i="1"/>
  <c r="S120" i="1" s="1"/>
  <c r="T85" i="1"/>
  <c r="T120" i="1" s="1"/>
  <c r="U85" i="1"/>
  <c r="V85" i="1"/>
  <c r="W85" i="1"/>
  <c r="W120" i="1" s="1"/>
  <c r="X85" i="1"/>
  <c r="X120" i="1" s="1"/>
  <c r="A86" i="1"/>
  <c r="B86" i="1"/>
  <c r="C86" i="1"/>
  <c r="C121" i="1" s="1"/>
  <c r="D86" i="1"/>
  <c r="D121" i="1" s="1"/>
  <c r="E86" i="1"/>
  <c r="F86" i="1"/>
  <c r="G86" i="1"/>
  <c r="G121" i="1" s="1"/>
  <c r="H86" i="1"/>
  <c r="H121" i="1" s="1"/>
  <c r="I86" i="1"/>
  <c r="J86" i="1"/>
  <c r="K86" i="1"/>
  <c r="K121" i="1" s="1"/>
  <c r="L86" i="1"/>
  <c r="L121" i="1" s="1"/>
  <c r="M86" i="1"/>
  <c r="N86" i="1"/>
  <c r="O86" i="1"/>
  <c r="O121" i="1" s="1"/>
  <c r="P86" i="1"/>
  <c r="P121" i="1" s="1"/>
  <c r="Q86" i="1"/>
  <c r="R86" i="1"/>
  <c r="S86" i="1"/>
  <c r="S121" i="1" s="1"/>
  <c r="T86" i="1"/>
  <c r="T121" i="1" s="1"/>
  <c r="U86" i="1"/>
  <c r="V86" i="1"/>
  <c r="W86" i="1"/>
  <c r="W121" i="1" s="1"/>
  <c r="X86" i="1"/>
  <c r="X121" i="1" s="1"/>
  <c r="A87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A88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A89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A90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A91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A92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A93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A94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A95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A96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A97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A98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A101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A102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A104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A116" i="1"/>
  <c r="B116" i="1"/>
  <c r="E116" i="1"/>
  <c r="F116" i="1"/>
  <c r="I116" i="1"/>
  <c r="J116" i="1"/>
  <c r="M116" i="1"/>
  <c r="N116" i="1"/>
  <c r="Q116" i="1"/>
  <c r="R116" i="1"/>
  <c r="U116" i="1"/>
  <c r="V116" i="1"/>
  <c r="A117" i="1"/>
  <c r="B117" i="1"/>
  <c r="E117" i="1"/>
  <c r="F117" i="1"/>
  <c r="I117" i="1"/>
  <c r="J117" i="1"/>
  <c r="M117" i="1"/>
  <c r="N117" i="1"/>
  <c r="Q117" i="1"/>
  <c r="R117" i="1"/>
  <c r="U117" i="1"/>
  <c r="V117" i="1"/>
  <c r="A118" i="1"/>
  <c r="B118" i="1"/>
  <c r="E118" i="1"/>
  <c r="F118" i="1"/>
  <c r="I118" i="1"/>
  <c r="J118" i="1"/>
  <c r="M118" i="1"/>
  <c r="N118" i="1"/>
  <c r="Q118" i="1"/>
  <c r="R118" i="1"/>
  <c r="U118" i="1"/>
  <c r="V118" i="1"/>
  <c r="A119" i="1"/>
  <c r="B119" i="1"/>
  <c r="E119" i="1"/>
  <c r="F119" i="1"/>
  <c r="I119" i="1"/>
  <c r="J119" i="1"/>
  <c r="M119" i="1"/>
  <c r="N119" i="1"/>
  <c r="Q119" i="1"/>
  <c r="R119" i="1"/>
  <c r="U119" i="1"/>
  <c r="V119" i="1"/>
  <c r="A120" i="1"/>
  <c r="B120" i="1"/>
  <c r="E120" i="1"/>
  <c r="F120" i="1"/>
  <c r="I120" i="1"/>
  <c r="J120" i="1"/>
  <c r="M120" i="1"/>
  <c r="N120" i="1"/>
  <c r="Q120" i="1"/>
  <c r="R120" i="1"/>
  <c r="U120" i="1"/>
  <c r="V120" i="1"/>
  <c r="A121" i="1"/>
  <c r="B121" i="1"/>
  <c r="E121" i="1"/>
  <c r="F121" i="1"/>
  <c r="I121" i="1"/>
  <c r="J121" i="1"/>
  <c r="M121" i="1"/>
  <c r="N121" i="1"/>
  <c r="Q121" i="1"/>
  <c r="R121" i="1"/>
  <c r="U121" i="1"/>
  <c r="V121" i="1"/>
  <c r="B80" i="1"/>
  <c r="B115" i="1" s="1"/>
  <c r="C80" i="1"/>
  <c r="C115" i="1" s="1"/>
  <c r="D80" i="1"/>
  <c r="D115" i="1" s="1"/>
  <c r="E80" i="1"/>
  <c r="E115" i="1" s="1"/>
  <c r="F80" i="1"/>
  <c r="F115" i="1" s="1"/>
  <c r="G80" i="1"/>
  <c r="G115" i="1" s="1"/>
  <c r="H80" i="1"/>
  <c r="H115" i="1" s="1"/>
  <c r="I80" i="1"/>
  <c r="I115" i="1" s="1"/>
  <c r="J80" i="1"/>
  <c r="J115" i="1" s="1"/>
  <c r="K80" i="1"/>
  <c r="K115" i="1" s="1"/>
  <c r="L80" i="1"/>
  <c r="L115" i="1" s="1"/>
  <c r="M80" i="1"/>
  <c r="M115" i="1" s="1"/>
  <c r="N80" i="1"/>
  <c r="N115" i="1" s="1"/>
  <c r="O80" i="1"/>
  <c r="O115" i="1" s="1"/>
  <c r="P80" i="1"/>
  <c r="P115" i="1" s="1"/>
  <c r="Q80" i="1"/>
  <c r="Q115" i="1" s="1"/>
  <c r="R80" i="1"/>
  <c r="R115" i="1" s="1"/>
  <c r="S80" i="1"/>
  <c r="S115" i="1" s="1"/>
  <c r="T80" i="1"/>
  <c r="T115" i="1" s="1"/>
  <c r="U80" i="1"/>
  <c r="U115" i="1" s="1"/>
  <c r="V80" i="1"/>
  <c r="V115" i="1" s="1"/>
  <c r="W80" i="1"/>
  <c r="W115" i="1" s="1"/>
  <c r="X80" i="1"/>
  <c r="X115" i="1" s="1"/>
  <c r="A80" i="1"/>
  <c r="A115" i="1" s="1"/>
  <c r="AB4" i="1"/>
  <c r="AB5" i="1"/>
  <c r="AB6" i="1"/>
  <c r="AB7" i="1"/>
  <c r="AB8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3" i="1"/>
  <c r="AB24" i="1"/>
  <c r="AB25" i="1"/>
  <c r="AB26" i="1"/>
  <c r="AB27" i="1"/>
  <c r="AB28" i="1"/>
  <c r="AB29" i="1"/>
  <c r="AB30" i="1"/>
  <c r="AB3" i="1"/>
  <c r="AB35" i="1" l="1"/>
  <c r="AH10" i="4" a="1"/>
  <c r="AH10" i="4" s="1"/>
  <c r="AF10" i="4" a="1"/>
  <c r="AF10" i="4" s="1"/>
  <c r="AI10" i="4" a="1"/>
  <c r="AI10" i="4" s="1"/>
  <c r="AG10" i="4" a="1"/>
  <c r="AG10" i="4" s="1"/>
  <c r="AH9" i="4" a="1"/>
  <c r="AH9" i="4" s="1"/>
  <c r="AF9" i="4" a="1"/>
  <c r="AF9" i="4" s="1"/>
  <c r="AI9" i="4" a="1"/>
  <c r="AI9" i="4" s="1"/>
  <c r="AG9" i="4" a="1"/>
  <c r="AG9" i="4" s="1"/>
  <c r="AH13" i="4" a="1"/>
  <c r="AH13" i="4" s="1"/>
  <c r="AF13" i="4" a="1"/>
  <c r="AF13" i="4" s="1"/>
  <c r="AI13" i="4" a="1"/>
  <c r="AI13" i="4" s="1"/>
  <c r="AG13" i="4" a="1"/>
  <c r="AG13" i="4" s="1"/>
  <c r="AH12" i="4" a="1"/>
  <c r="AH12" i="4" s="1"/>
  <c r="AF12" i="4" a="1"/>
  <c r="AF12" i="4" s="1"/>
  <c r="AI12" i="4" a="1"/>
  <c r="AI12" i="4" s="1"/>
  <c r="AG12" i="4" a="1"/>
  <c r="AG12" i="4" s="1"/>
  <c r="AN3" i="4"/>
  <c r="AN2" i="4"/>
  <c r="AI4" i="4" a="1"/>
  <c r="AI4" i="4" s="1"/>
  <c r="AF4" i="4" a="1"/>
  <c r="AF4" i="4" s="1"/>
  <c r="AH11" i="4" a="1"/>
  <c r="AH11" i="4" s="1"/>
  <c r="AF11" i="4" a="1"/>
  <c r="AF11" i="4" s="1"/>
  <c r="AI11" i="4" a="1"/>
  <c r="AI11" i="4" s="1"/>
  <c r="AG11" i="4" a="1"/>
  <c r="AG11" i="4" s="1"/>
  <c r="AG14" i="4" a="1"/>
  <c r="AG14" i="4" s="1"/>
  <c r="AI14" i="4" a="1"/>
  <c r="AI14" i="4" s="1"/>
  <c r="AG15" i="4" a="1"/>
  <c r="AG15" i="4" s="1"/>
  <c r="AI15" i="4" a="1"/>
  <c r="AI15" i="4" s="1"/>
  <c r="AG16" i="4" a="1"/>
  <c r="AG16" i="4" s="1"/>
  <c r="AI16" i="4" a="1"/>
  <c r="AI16" i="4" s="1"/>
  <c r="AG17" i="4" a="1"/>
  <c r="AG17" i="4" s="1"/>
  <c r="AI17" i="4" a="1"/>
  <c r="AI17" i="4" s="1"/>
  <c r="AF14" i="4" a="1"/>
  <c r="AF14" i="4" s="1"/>
  <c r="AF15" i="4" a="1"/>
  <c r="AF15" i="4" s="1"/>
  <c r="AF16" i="4" a="1"/>
  <c r="AF16" i="4" s="1"/>
  <c r="AJ16" i="4" s="1"/>
  <c r="AF17" i="4" a="1"/>
  <c r="AF17" i="4" s="1"/>
  <c r="AJ8" i="5"/>
  <c r="AH4" i="5" a="1"/>
  <c r="AH4" i="5" s="1"/>
  <c r="AF4" i="5" a="1"/>
  <c r="AF4" i="5" s="1"/>
  <c r="AJ4" i="5" s="1"/>
  <c r="AH9" i="5" a="1"/>
  <c r="AH9" i="5" s="1"/>
  <c r="AF9" i="5" a="1"/>
  <c r="AF9" i="5" s="1"/>
  <c r="AN3" i="5"/>
  <c r="AH3" i="5" a="1"/>
  <c r="AH3" i="5" s="1"/>
  <c r="AI4" i="5" a="1"/>
  <c r="AI4" i="5" s="1"/>
  <c r="AI9" i="5" a="1"/>
  <c r="AI9" i="5" s="1"/>
  <c r="AN2" i="5"/>
  <c r="AH10" i="5" a="1"/>
  <c r="AH10" i="5" s="1"/>
  <c r="AF10" i="5" a="1"/>
  <c r="AF10" i="5" s="1"/>
  <c r="AF3" i="5" a="1"/>
  <c r="AF3" i="5" s="1"/>
  <c r="AI3" i="5" a="1"/>
  <c r="AI3" i="5" s="1"/>
  <c r="AG9" i="5" a="1"/>
  <c r="AG9" i="5" s="1"/>
  <c r="AI10" i="5" a="1"/>
  <c r="AI10" i="5" s="1"/>
  <c r="AH11" i="5" a="1"/>
  <c r="AH11" i="5" s="1"/>
  <c r="AF11" i="5" a="1"/>
  <c r="AF11" i="5" s="1"/>
  <c r="AJ11" i="5" s="1"/>
  <c r="AF12" i="5" a="1"/>
  <c r="AF12" i="5" s="1"/>
  <c r="AJ12" i="5" s="1"/>
  <c r="AF13" i="5" a="1"/>
  <c r="AF13" i="5" s="1"/>
  <c r="AJ13" i="5" s="1"/>
  <c r="AF14" i="5" a="1"/>
  <c r="AF14" i="5" s="1"/>
  <c r="AJ14" i="5" s="1"/>
  <c r="AF15" i="5" a="1"/>
  <c r="AF15" i="5" s="1"/>
  <c r="AJ15" i="5" s="1"/>
  <c r="AF16" i="5" a="1"/>
  <c r="AF16" i="5" s="1"/>
  <c r="AJ16" i="5" s="1"/>
  <c r="AF17" i="5" a="1"/>
  <c r="AF17" i="5" s="1"/>
  <c r="AJ17" i="5" s="1"/>
  <c r="AG12" i="1" a="1"/>
  <c r="AG12" i="1" s="1"/>
  <c r="AF11" i="1" a="1"/>
  <c r="AF11" i="1" s="1"/>
  <c r="AI11" i="1" a="1"/>
  <c r="AI11" i="1" s="1"/>
  <c r="AG11" i="1" a="1"/>
  <c r="AG11" i="1" s="1"/>
  <c r="AH11" i="1" a="1"/>
  <c r="AH11" i="1" s="1"/>
  <c r="AI12" i="1" a="1"/>
  <c r="AI12" i="1" s="1"/>
  <c r="AF12" i="1" a="1"/>
  <c r="AF12" i="1" s="1"/>
  <c r="AE7" i="1"/>
  <c r="AE4" i="1" a="1"/>
  <c r="AE4" i="1" s="1"/>
  <c r="AJ11" i="4" l="1"/>
  <c r="AJ12" i="4"/>
  <c r="AJ13" i="4"/>
  <c r="AJ9" i="4"/>
  <c r="AJ10" i="4"/>
  <c r="AJ14" i="4"/>
  <c r="AJ15" i="4"/>
  <c r="AJ17" i="4"/>
  <c r="AJ4" i="4"/>
  <c r="AJ3" i="5"/>
  <c r="AQ2" i="5" s="1"/>
  <c r="AJ9" i="5"/>
  <c r="AJ10" i="5"/>
  <c r="AJ12" i="1"/>
  <c r="AF7" i="1" a="1"/>
  <c r="AF7" i="1" s="1"/>
  <c r="AI7" i="1" a="1"/>
  <c r="AI7" i="1" s="1"/>
  <c r="AG7" i="1" a="1"/>
  <c r="AG7" i="1" s="1"/>
  <c r="AH7" i="1" a="1"/>
  <c r="AH7" i="1" s="1"/>
  <c r="AH4" i="1" a="1"/>
  <c r="AH4" i="1" s="1"/>
  <c r="AF4" i="1" a="1"/>
  <c r="AF4" i="1" s="1"/>
  <c r="AI4" i="1" a="1"/>
  <c r="AI4" i="1" s="1"/>
  <c r="AG4" i="1" a="1"/>
  <c r="AG4" i="1" s="1"/>
  <c r="AJ11" i="1"/>
  <c r="AE9" i="1"/>
  <c r="AE8" i="1"/>
  <c r="AE6" i="1"/>
  <c r="AE5" i="1"/>
  <c r="AE3" i="1"/>
  <c r="AE10" i="1"/>
  <c r="AE13" i="1"/>
  <c r="AE14" i="1"/>
  <c r="AE15" i="1"/>
  <c r="AE16" i="1"/>
  <c r="AE17" i="1"/>
  <c r="AQ2" i="4" l="1"/>
  <c r="AF17" i="1" a="1"/>
  <c r="AF17" i="1" s="1"/>
  <c r="AI17" i="1" a="1"/>
  <c r="AI17" i="1" s="1"/>
  <c r="AG17" i="1" a="1"/>
  <c r="AG17" i="1" s="1"/>
  <c r="AH17" i="1" a="1"/>
  <c r="AH17" i="1" s="1"/>
  <c r="AH6" i="1" a="1"/>
  <c r="AH6" i="1" s="1"/>
  <c r="AF6" i="1" a="1"/>
  <c r="AF6" i="1" s="1"/>
  <c r="AI6" i="1" a="1"/>
  <c r="AI6" i="1" s="1"/>
  <c r="AG6" i="1" a="1"/>
  <c r="AG6" i="1" s="1"/>
  <c r="AH10" i="1" a="1"/>
  <c r="AH10" i="1" s="1"/>
  <c r="AF10" i="1" a="1"/>
  <c r="AF10" i="1" s="1"/>
  <c r="AI10" i="1" a="1"/>
  <c r="AI10" i="1" s="1"/>
  <c r="AG10" i="1" a="1"/>
  <c r="AG10" i="1" s="1"/>
  <c r="AF15" i="1" a="1"/>
  <c r="AF15" i="1" s="1"/>
  <c r="AI15" i="1" a="1"/>
  <c r="AI15" i="1" s="1"/>
  <c r="AG15" i="1" a="1"/>
  <c r="AG15" i="1" s="1"/>
  <c r="AH15" i="1" a="1"/>
  <c r="AH15" i="1" s="1"/>
  <c r="AI3" i="1" a="1"/>
  <c r="AI3" i="1" s="1"/>
  <c r="AG3" i="1" a="1"/>
  <c r="AG3" i="1" s="1"/>
  <c r="AH3" i="1" a="1"/>
  <c r="AH3" i="1" s="1"/>
  <c r="AF9" i="1" a="1"/>
  <c r="AF9" i="1" s="1"/>
  <c r="AI9" i="1" a="1"/>
  <c r="AI9" i="1" s="1"/>
  <c r="AG9" i="1" a="1"/>
  <c r="AG9" i="1" s="1"/>
  <c r="AH9" i="1" a="1"/>
  <c r="AH9" i="1" s="1"/>
  <c r="AJ4" i="1"/>
  <c r="AF13" i="1" a="1"/>
  <c r="AF13" i="1" s="1"/>
  <c r="AI13" i="1" a="1"/>
  <c r="AI13" i="1" s="1"/>
  <c r="AG13" i="1" a="1"/>
  <c r="AG13" i="1" s="1"/>
  <c r="AH13" i="1" a="1"/>
  <c r="AH13" i="1" s="1"/>
  <c r="AH16" i="1" a="1"/>
  <c r="AH16" i="1" s="1"/>
  <c r="AF16" i="1" a="1"/>
  <c r="AF16" i="1" s="1"/>
  <c r="AI16" i="1" a="1"/>
  <c r="AI16" i="1" s="1"/>
  <c r="AG16" i="1" a="1"/>
  <c r="AG16" i="1" s="1"/>
  <c r="AH8" i="1" a="1"/>
  <c r="AH8" i="1" s="1"/>
  <c r="AF8" i="1" a="1"/>
  <c r="AF8" i="1" s="1"/>
  <c r="AI8" i="1" a="1"/>
  <c r="AI8" i="1" s="1"/>
  <c r="AG8" i="1" a="1"/>
  <c r="AG8" i="1" s="1"/>
  <c r="AH14" i="1" a="1"/>
  <c r="AH14" i="1" s="1"/>
  <c r="AF14" i="1" a="1"/>
  <c r="AF14" i="1" s="1"/>
  <c r="AI14" i="1" a="1"/>
  <c r="AI14" i="1" s="1"/>
  <c r="AG14" i="1" a="1"/>
  <c r="AG14" i="1" s="1"/>
  <c r="AF5" i="1" a="1"/>
  <c r="AF5" i="1" s="1"/>
  <c r="AI5" i="1" a="1"/>
  <c r="AI5" i="1" s="1"/>
  <c r="AG5" i="1" a="1"/>
  <c r="AG5" i="1" s="1"/>
  <c r="AH5" i="1" a="1"/>
  <c r="AH5" i="1" s="1"/>
  <c r="AJ7" i="1"/>
  <c r="AF3" i="1" a="1"/>
  <c r="AF3" i="1" s="1"/>
  <c r="AN2" i="1"/>
  <c r="AJ9" i="1" l="1"/>
  <c r="AJ14" i="1"/>
  <c r="AJ8" i="1"/>
  <c r="AJ16" i="1"/>
  <c r="AJ10" i="1"/>
  <c r="AJ6" i="1"/>
  <c r="AJ5" i="1"/>
  <c r="AJ13" i="1"/>
  <c r="AJ15" i="1"/>
  <c r="AJ17" i="1"/>
  <c r="AJ3" i="1"/>
  <c r="AQ2" i="1" l="1"/>
  <c r="X2" i="1"/>
  <c r="P2" i="1"/>
  <c r="Q2" i="1" s="1"/>
  <c r="R2" i="1" s="1"/>
  <c r="S2" i="1" s="1"/>
  <c r="T2" i="1" s="1"/>
  <c r="U2" i="1" s="1"/>
  <c r="V2" i="1" s="1"/>
  <c r="W2" i="1" s="1"/>
  <c r="O2" i="1"/>
  <c r="AN3" i="1" l="1"/>
</calcChain>
</file>

<file path=xl/sharedStrings.xml><?xml version="1.0" encoding="utf-8"?>
<sst xmlns="http://schemas.openxmlformats.org/spreadsheetml/2006/main" count="274" uniqueCount="103">
  <si>
    <t>Nom</t>
  </si>
  <si>
    <t>Prenom</t>
  </si>
  <si>
    <t>Programmation</t>
  </si>
  <si>
    <t>Stats</t>
  </si>
  <si>
    <t>Gestion de projet</t>
  </si>
  <si>
    <t>Presentation/visualisation</t>
  </si>
  <si>
    <t>Choix de projet</t>
  </si>
  <si>
    <t>Projet Affecté</t>
  </si>
  <si>
    <t>Competences principales (niveau entre 1 et 5)</t>
  </si>
  <si>
    <t>Projet</t>
  </si>
  <si>
    <t>Id</t>
  </si>
  <si>
    <t>Fonction d'optimisation</t>
  </si>
  <si>
    <t>contraintes</t>
  </si>
  <si>
    <t>max personne</t>
  </si>
  <si>
    <t>min personne</t>
  </si>
  <si>
    <t>numero</t>
  </si>
  <si>
    <t>nombre personne</t>
  </si>
  <si>
    <t>Nombre de projet</t>
  </si>
  <si>
    <t>Groupe total disavantage</t>
  </si>
  <si>
    <t>Special competences on project number</t>
  </si>
  <si>
    <t>Happyness of choice</t>
  </si>
  <si>
    <t>Safran</t>
  </si>
  <si>
    <t>Axys</t>
  </si>
  <si>
    <t>LFA</t>
  </si>
  <si>
    <t>VeePee</t>
  </si>
  <si>
    <t>Groupe HN</t>
  </si>
  <si>
    <t>Idemia</t>
  </si>
  <si>
    <t>Pellenc ST</t>
  </si>
  <si>
    <t>BPCE</t>
  </si>
  <si>
    <t>Sicara</t>
  </si>
  <si>
    <t>Afpa</t>
  </si>
  <si>
    <t>Airbus D&amp;S</t>
  </si>
  <si>
    <t>Safran (Roger Trullo)</t>
  </si>
  <si>
    <t>Lixo</t>
  </si>
  <si>
    <t>Engie</t>
  </si>
  <si>
    <t>Nombre de personnes</t>
  </si>
  <si>
    <t>Etudiant/Groupes</t>
  </si>
  <si>
    <t>Poquet, Drevet, Fassier, Majdalani, Lefievre</t>
  </si>
  <si>
    <t>Vincent, Céline, Morgan, Ernest, Théo</t>
  </si>
  <si>
    <t>Zhan / Haykal / Gardette / Candal / Calligaro</t>
  </si>
  <si>
    <t>Lignli / Frédéric / Mathieu / Elliot / Nicolas</t>
  </si>
  <si>
    <t>Marti</t>
  </si>
  <si>
    <t>Enzo</t>
  </si>
  <si>
    <t>Vigne, Alline, Dauba, Boulat, Pannier</t>
  </si>
  <si>
    <t>Nicolas, Remy, Jerome, Antoine, Valentin</t>
  </si>
  <si>
    <t>Sangouard</t>
  </si>
  <si>
    <t>Arnaud</t>
  </si>
  <si>
    <t>PONT , LÉVÊQUE , ROSE , PARTIMBENE , SOBHANI</t>
  </si>
  <si>
    <t>Fabrice, Florian, Louis, Vincent, Armand</t>
  </si>
  <si>
    <t>Galatà</t>
  </si>
  <si>
    <t>Salvatore</t>
  </si>
  <si>
    <t>HIU</t>
  </si>
  <si>
    <t>I-Tang</t>
  </si>
  <si>
    <t>JIA, Tankpinou</t>
  </si>
  <si>
    <t>Delin, Celia</t>
  </si>
  <si>
    <t>Zakar</t>
  </si>
  <si>
    <t>Alan</t>
  </si>
  <si>
    <t>Blanchard, Carteau, Hubert,  Maksoud, Phung</t>
  </si>
  <si>
    <t>Emmanuel, David, Karen, Julien, Jean-Luc</t>
  </si>
  <si>
    <t>Nguyen</t>
  </si>
  <si>
    <t>Laurent</t>
  </si>
  <si>
    <t>Levy</t>
  </si>
  <si>
    <t>Jean-Charles</t>
  </si>
  <si>
    <t>Calvet</t>
  </si>
  <si>
    <t>Rodolphe</t>
  </si>
  <si>
    <t>Favrot</t>
  </si>
  <si>
    <t>Nicolas</t>
  </si>
  <si>
    <t>Quach</t>
  </si>
  <si>
    <t>Jean-Philippe</t>
  </si>
  <si>
    <t>Jeancler</t>
  </si>
  <si>
    <t>Dominique</t>
  </si>
  <si>
    <t>HENRY</t>
  </si>
  <si>
    <t>Hippolyte</t>
  </si>
  <si>
    <t>CARVALLO</t>
  </si>
  <si>
    <t>Joachim</t>
  </si>
  <si>
    <t>BAKEBECK</t>
  </si>
  <si>
    <t>Samuel</t>
  </si>
  <si>
    <t>MICHALEWICZ</t>
  </si>
  <si>
    <t>Axel</t>
  </si>
  <si>
    <t>Air Liquide</t>
  </si>
  <si>
    <t>LAHLOU, BEN BOUBKER</t>
  </si>
  <si>
    <t xml:space="preserve">Aicha, Mahmoud </t>
  </si>
  <si>
    <t>Delarue / Bardonnet / Nourry / Breboin / Coureaud</t>
  </si>
  <si>
    <t>Simon / Vincent / Mathias / Alexandre / Bertrand</t>
  </si>
  <si>
    <t>TIZAF</t>
  </si>
  <si>
    <t>Zakaria</t>
  </si>
  <si>
    <t>BENALI,JAIT</t>
  </si>
  <si>
    <t>Amal,Fatima-ezzahra</t>
  </si>
  <si>
    <t>Muller, Van Eetveldt, Veillas, Harrissart, Binuani</t>
  </si>
  <si>
    <t>Julien, Jordan, Axel, Adele, Nicolas</t>
  </si>
  <si>
    <t>DI PROIETTO, PAUWELS, MONDIN</t>
  </si>
  <si>
    <t>Valentina, Vincent, Alexandre</t>
  </si>
  <si>
    <t>Numéro de choix</t>
  </si>
  <si>
    <t>Genet, ,Senet, Nobrega,Dilou, Trivellato</t>
  </si>
  <si>
    <t>Rémi, Adrien, Roberto, Sully, Thomas</t>
  </si>
  <si>
    <t>RICHARD, GEAY, ROBILIARD</t>
  </si>
  <si>
    <t>Chloé, Maxime, Adrien</t>
  </si>
  <si>
    <t>Aicha, Mahmoud</t>
  </si>
  <si>
    <t>Blanchard, Carteau, Hubert, Maksoud, Phung</t>
  </si>
  <si>
    <t>Levy, Brugière</t>
  </si>
  <si>
    <t>Jean-Charles, Arnaud</t>
  </si>
  <si>
    <t>Mouissa</t>
  </si>
  <si>
    <t>Ismail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</si>
</sst>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5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2" xfId="0" applyFill="1" applyBorder="1"/>
    <xf numFmtId="0" fontId="0" fillId="3" borderId="8" xfId="0" applyFill="1" applyBorder="1"/>
    <xf numFmtId="0" fontId="1" fillId="4" borderId="16" xfId="0" applyFont="1" applyFill="1" applyBorder="1"/>
    <xf numFmtId="0" fontId="1" fillId="4" borderId="17" xfId="0" applyFont="1" applyFill="1" applyBorder="1"/>
    <xf numFmtId="0" fontId="1" fillId="4" borderId="18" xfId="0" applyFont="1" applyFill="1" applyBorder="1" applyAlignment="1"/>
    <xf numFmtId="0" fontId="1" fillId="4" borderId="19" xfId="0" applyFont="1" applyFill="1" applyBorder="1"/>
    <xf numFmtId="0" fontId="1" fillId="4" borderId="20" xfId="0" applyFont="1" applyFill="1" applyBorder="1" applyAlignment="1"/>
    <xf numFmtId="0" fontId="1" fillId="4" borderId="21" xfId="0" applyFont="1" applyFill="1" applyBorder="1"/>
    <xf numFmtId="0" fontId="0" fillId="3" borderId="22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3" fillId="4" borderId="20" xfId="0" applyFont="1" applyFill="1" applyBorder="1" applyAlignment="1"/>
    <xf numFmtId="0" fontId="2" fillId="3" borderId="11" xfId="0" applyFont="1" applyFill="1" applyBorder="1"/>
    <xf numFmtId="0" fontId="0" fillId="5" borderId="25" xfId="0" applyFill="1" applyBorder="1" applyAlignment="1">
      <alignment wrapText="1"/>
    </xf>
    <xf numFmtId="0" fontId="0" fillId="5" borderId="26" xfId="0" applyFill="1" applyBorder="1" applyAlignment="1">
      <alignment wrapText="1"/>
    </xf>
    <xf numFmtId="0" fontId="0" fillId="5" borderId="27" xfId="0" applyFill="1" applyBorder="1" applyAlignment="1">
      <alignment horizontal="right" wrapText="1"/>
    </xf>
    <xf numFmtId="0" fontId="0" fillId="5" borderId="26" xfId="0" applyFill="1" applyBorder="1" applyAlignment="1">
      <alignment horizontal="right" wrapText="1"/>
    </xf>
    <xf numFmtId="0" fontId="0" fillId="5" borderId="27" xfId="0" applyFill="1" applyBorder="1" applyAlignment="1">
      <alignment wrapText="1"/>
    </xf>
    <xf numFmtId="0" fontId="0" fillId="5" borderId="28" xfId="0" applyFill="1" applyBorder="1" applyAlignment="1">
      <alignment wrapText="1"/>
    </xf>
    <xf numFmtId="0" fontId="0" fillId="5" borderId="29" xfId="0" applyFill="1" applyBorder="1" applyAlignment="1">
      <alignment wrapText="1"/>
    </xf>
    <xf numFmtId="0" fontId="0" fillId="5" borderId="30" xfId="0" applyFill="1" applyBorder="1" applyAlignment="1">
      <alignment horizontal="right" wrapText="1"/>
    </xf>
    <xf numFmtId="0" fontId="0" fillId="5" borderId="29" xfId="0" applyFill="1" applyBorder="1" applyAlignment="1">
      <alignment horizontal="right" wrapText="1"/>
    </xf>
    <xf numFmtId="0" fontId="0" fillId="5" borderId="30" xfId="0" applyFill="1" applyBorder="1" applyAlignment="1">
      <alignment wrapText="1"/>
    </xf>
    <xf numFmtId="0" fontId="0" fillId="0" borderId="31" xfId="0" applyBorder="1" applyAlignment="1">
      <alignment horizontal="right" wrapText="1"/>
    </xf>
    <xf numFmtId="0" fontId="0" fillId="0" borderId="30" xfId="0" applyBorder="1" applyAlignment="1">
      <alignment horizontal="right" wrapText="1"/>
    </xf>
    <xf numFmtId="0" fontId="0" fillId="5" borderId="32" xfId="0" applyFill="1" applyBorder="1" applyAlignment="1">
      <alignment wrapText="1"/>
    </xf>
    <xf numFmtId="0" fontId="0" fillId="5" borderId="31" xfId="0" applyFill="1" applyBorder="1" applyAlignment="1">
      <alignment wrapText="1"/>
    </xf>
    <xf numFmtId="0" fontId="4" fillId="0" borderId="31" xfId="0" applyFont="1" applyBorder="1" applyAlignment="1">
      <alignment horizontal="right" wrapText="1"/>
    </xf>
    <xf numFmtId="0" fontId="4" fillId="0" borderId="33" xfId="0" applyFont="1" applyBorder="1" applyAlignment="1">
      <alignment horizontal="right" wrapText="1"/>
    </xf>
    <xf numFmtId="0" fontId="0" fillId="0" borderId="31" xfId="0" applyBorder="1" applyAlignment="1">
      <alignment wrapText="1"/>
    </xf>
    <xf numFmtId="0" fontId="0" fillId="0" borderId="29" xfId="0" applyBorder="1" applyAlignment="1">
      <alignment wrapText="1"/>
    </xf>
    <xf numFmtId="0" fontId="0" fillId="0" borderId="30" xfId="0" applyBorder="1" applyAlignment="1">
      <alignment wrapText="1"/>
    </xf>
    <xf numFmtId="0" fontId="0" fillId="0" borderId="28" xfId="0" applyBorder="1" applyAlignment="1">
      <alignment wrapText="1"/>
    </xf>
    <xf numFmtId="0" fontId="0" fillId="0" borderId="29" xfId="0" applyBorder="1" applyAlignment="1">
      <alignment horizontal="right" wrapText="1"/>
    </xf>
    <xf numFmtId="0" fontId="4" fillId="0" borderId="30" xfId="0" applyFont="1" applyBorder="1" applyAlignment="1">
      <alignment horizontal="right" wrapText="1"/>
    </xf>
    <xf numFmtId="0" fontId="5" fillId="0" borderId="30" xfId="0" applyFont="1" applyBorder="1" applyAlignment="1">
      <alignment horizontal="right" wrapText="1"/>
    </xf>
    <xf numFmtId="0" fontId="5" fillId="0" borderId="31" xfId="0" applyFont="1" applyBorder="1" applyAlignment="1">
      <alignment horizontal="right" wrapText="1"/>
    </xf>
    <xf numFmtId="0" fontId="0" fillId="5" borderId="34" xfId="0" applyFill="1" applyBorder="1" applyAlignment="1">
      <alignment horizontal="right" wrapText="1"/>
    </xf>
    <xf numFmtId="0" fontId="0" fillId="5" borderId="32" xfId="0" applyFill="1" applyBorder="1" applyAlignment="1">
      <alignment horizontal="right" wrapText="1"/>
    </xf>
    <xf numFmtId="0" fontId="0" fillId="0" borderId="32" xfId="0" applyBorder="1" applyAlignment="1">
      <alignment horizontal="right" wrapText="1"/>
    </xf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0" fillId="3" borderId="0" xfId="0" applyFill="1" applyBorder="1" applyAlignment="1">
      <alignment horizontal="right" wrapText="1"/>
    </xf>
    <xf numFmtId="0" fontId="6" fillId="0" borderId="31" xfId="0" applyFont="1" applyBorder="1" applyAlignment="1">
      <alignment horizontal="right" wrapText="1"/>
    </xf>
    <xf numFmtId="0" fontId="5" fillId="5" borderId="30" xfId="0" applyFont="1" applyFill="1" applyBorder="1" applyAlignment="1">
      <alignment horizontal="right" wrapText="1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DV121"/>
  <sheetViews>
    <sheetView tabSelected="1" topLeftCell="AB1" zoomScale="90" zoomScaleNormal="90" workbookViewId="0">
      <selection activeCell="BD10" sqref="BD10"/>
    </sheetView>
  </sheetViews>
  <sheetFormatPr baseColWidth="10" defaultColWidth="5.140625" defaultRowHeight="15" outlineLevelCol="1" x14ac:dyDescent="0.25"/>
  <cols>
    <col min="1" max="1" width="46.7109375" style="52" bestFit="1" customWidth="1"/>
    <col min="2" max="2" width="45" style="52" bestFit="1" customWidth="1"/>
    <col min="3" max="24" width="5.140625" style="52" customWidth="1"/>
    <col min="25" max="25" width="5.140625" style="52"/>
    <col min="26" max="26" width="5.140625" style="52" customWidth="1"/>
    <col min="27" max="27" width="19.140625" style="52" bestFit="1" customWidth="1"/>
    <col min="28" max="28" width="16" style="52" customWidth="1"/>
    <col min="29" max="29" width="17" style="52" customWidth="1" outlineLevel="1"/>
    <col min="30" max="30" width="8" style="52" customWidth="1" outlineLevel="1"/>
    <col min="31" max="31" width="17" style="52" customWidth="1" outlineLevel="1"/>
    <col min="32" max="32" width="14.7109375" style="52" customWidth="1" outlineLevel="1"/>
    <col min="33" max="33" width="5.28515625" style="52" customWidth="1" outlineLevel="1"/>
    <col min="34" max="34" width="16.5703125" style="52" customWidth="1" outlineLevel="1"/>
    <col min="35" max="35" width="24.7109375" style="52" customWidth="1" outlineLevel="1"/>
    <col min="36" max="36" width="23.42578125" style="52" customWidth="1" outlineLevel="1"/>
    <col min="37" max="38" width="5.140625" style="52" customWidth="1" outlineLevel="1"/>
    <col min="39" max="39" width="13.5703125" style="52" customWidth="1" outlineLevel="1"/>
    <col min="40" max="40" width="11" style="52" customWidth="1" outlineLevel="1"/>
    <col min="41" max="41" width="5.140625" style="52" customWidth="1" outlineLevel="1"/>
    <col min="42" max="42" width="22.28515625" style="52" customWidth="1" outlineLevel="1"/>
    <col min="43" max="43" width="12" style="52" bestFit="1" customWidth="1"/>
    <col min="44" max="46" width="5.140625" style="52"/>
    <col min="47" max="47" width="20.85546875" style="52" bestFit="1" customWidth="1"/>
    <col min="74" max="98" width="5.140625" style="2"/>
    <col min="127" max="16384" width="5.140625" style="2"/>
  </cols>
  <sheetData>
    <row r="1" spans="1:126" ht="15.75" thickBot="1" x14ac:dyDescent="0.3">
      <c r="A1" s="57" t="s">
        <v>36</v>
      </c>
      <c r="B1" s="58"/>
      <c r="C1" s="57" t="s">
        <v>8</v>
      </c>
      <c r="D1" s="59"/>
      <c r="E1" s="59"/>
      <c r="F1" s="58"/>
      <c r="G1" s="60" t="s">
        <v>19</v>
      </c>
      <c r="H1" s="61"/>
      <c r="I1" s="62"/>
      <c r="J1" s="63" t="s">
        <v>6</v>
      </c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5"/>
      <c r="Y1" s="21"/>
      <c r="Z1" s="6" t="s">
        <v>7</v>
      </c>
      <c r="AA1" s="2" t="s">
        <v>20</v>
      </c>
      <c r="AB1" s="2" t="s">
        <v>92</v>
      </c>
      <c r="AC1" s="2" t="s">
        <v>17</v>
      </c>
      <c r="AD1" s="2" t="s">
        <v>9</v>
      </c>
      <c r="AE1" s="2"/>
      <c r="AF1" s="2"/>
      <c r="AG1" s="2"/>
      <c r="AH1" s="2"/>
      <c r="AI1" s="2"/>
      <c r="AJ1" s="2"/>
      <c r="AK1" s="2"/>
      <c r="AL1" s="2"/>
      <c r="AM1" s="2"/>
      <c r="AN1" s="2" t="s">
        <v>12</v>
      </c>
      <c r="AO1" s="2"/>
      <c r="AP1" s="2"/>
      <c r="AQ1" s="2" t="s">
        <v>11</v>
      </c>
      <c r="AR1" s="2"/>
      <c r="AS1" s="2"/>
      <c r="AT1" s="2"/>
      <c r="AU1" s="5" t="s">
        <v>35</v>
      </c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</row>
    <row r="2" spans="1:126" ht="15.75" thickBot="1" x14ac:dyDescent="0.3">
      <c r="A2" s="7" t="s">
        <v>0</v>
      </c>
      <c r="B2" s="8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1"/>
      <c r="H2" s="1"/>
      <c r="I2" s="1"/>
      <c r="J2" s="7">
        <v>1</v>
      </c>
      <c r="K2" s="8">
        <v>2</v>
      </c>
      <c r="L2" s="8">
        <v>3</v>
      </c>
      <c r="M2" s="8">
        <v>4</v>
      </c>
      <c r="N2" s="8">
        <v>5</v>
      </c>
      <c r="O2" s="8">
        <f>N2+1</f>
        <v>6</v>
      </c>
      <c r="P2" s="8">
        <f t="shared" ref="P2:X2" si="0">O2+1</f>
        <v>7</v>
      </c>
      <c r="Q2" s="8">
        <f t="shared" si="0"/>
        <v>8</v>
      </c>
      <c r="R2" s="8">
        <f t="shared" si="0"/>
        <v>9</v>
      </c>
      <c r="S2" s="8">
        <f t="shared" si="0"/>
        <v>10</v>
      </c>
      <c r="T2" s="8">
        <f t="shared" si="0"/>
        <v>11</v>
      </c>
      <c r="U2" s="8">
        <f t="shared" si="0"/>
        <v>12</v>
      </c>
      <c r="V2" s="8">
        <f t="shared" si="0"/>
        <v>13</v>
      </c>
      <c r="W2" s="8">
        <f t="shared" si="0"/>
        <v>14</v>
      </c>
      <c r="X2" s="14">
        <f t="shared" si="0"/>
        <v>15</v>
      </c>
      <c r="Y2" s="2"/>
      <c r="Z2" s="5"/>
      <c r="AA2" s="2"/>
      <c r="AB2" s="2"/>
      <c r="AC2" s="2">
        <v>15</v>
      </c>
      <c r="AD2" s="2" t="s">
        <v>15</v>
      </c>
      <c r="AE2" s="2" t="s">
        <v>16</v>
      </c>
      <c r="AF2" s="3" t="s">
        <v>2</v>
      </c>
      <c r="AG2" s="3" t="s">
        <v>3</v>
      </c>
      <c r="AH2" s="3" t="s">
        <v>4</v>
      </c>
      <c r="AI2" s="3" t="s">
        <v>5</v>
      </c>
      <c r="AJ2" s="2" t="s">
        <v>18</v>
      </c>
      <c r="AK2" s="2"/>
      <c r="AL2" s="2"/>
      <c r="AM2" s="2" t="s">
        <v>13</v>
      </c>
      <c r="AN2" s="2">
        <f>MAX(AE3:AE17)</f>
        <v>5</v>
      </c>
      <c r="AO2" s="2"/>
      <c r="AP2" s="2"/>
      <c r="AQ2" s="2">
        <f>SUM(AA3:AA52)+SUM(AJ3:AL17)</f>
        <v>481.47653796648007</v>
      </c>
      <c r="AR2" s="2"/>
      <c r="AS2" s="2"/>
      <c r="AT2" s="2"/>
      <c r="AU2" s="6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</row>
    <row r="3" spans="1:126" ht="16.5" thickTop="1" thickBot="1" x14ac:dyDescent="0.3">
      <c r="A3" s="25" t="s">
        <v>37</v>
      </c>
      <c r="B3" s="26" t="s">
        <v>38</v>
      </c>
      <c r="C3" s="27">
        <v>5</v>
      </c>
      <c r="D3" s="27">
        <v>4</v>
      </c>
      <c r="E3" s="27">
        <v>5</v>
      </c>
      <c r="F3" s="28">
        <v>4</v>
      </c>
      <c r="G3" s="29"/>
      <c r="H3" s="29"/>
      <c r="I3" s="26"/>
      <c r="J3" s="27">
        <v>15</v>
      </c>
      <c r="K3" s="27">
        <v>13</v>
      </c>
      <c r="L3" s="27">
        <v>10</v>
      </c>
      <c r="M3" s="27">
        <v>7</v>
      </c>
      <c r="N3" s="27">
        <v>14</v>
      </c>
      <c r="O3" s="27">
        <v>6</v>
      </c>
      <c r="P3" s="27">
        <v>5</v>
      </c>
      <c r="Q3" s="27">
        <v>1</v>
      </c>
      <c r="R3" s="27">
        <v>12</v>
      </c>
      <c r="S3" s="27">
        <v>8</v>
      </c>
      <c r="T3" s="27">
        <v>4</v>
      </c>
      <c r="U3" s="27">
        <v>3</v>
      </c>
      <c r="V3" s="27">
        <v>2</v>
      </c>
      <c r="W3" s="27">
        <v>9</v>
      </c>
      <c r="X3" s="28">
        <v>11</v>
      </c>
      <c r="Y3" s="2"/>
      <c r="Z3" s="13">
        <v>15</v>
      </c>
      <c r="AA3" s="2">
        <f>(_xlfn.IFNA(MATCH(Z3,J3:X3,0)-1,15-COUNTBLANK(J3:X3))^2)*SQRT(AU3)</f>
        <v>0</v>
      </c>
      <c r="AB3" s="13">
        <f>_xlfn.IFNA(MATCH(Z3,J3:X3,0)-1,15-COUNTBLANK(J3:X3))+1</f>
        <v>1</v>
      </c>
      <c r="AC3" s="2"/>
      <c r="AD3" s="2">
        <v>1</v>
      </c>
      <c r="AE3" s="2">
        <f>IF(SUMIF(Z$3:Z$55,AD3,AU$3:AU$55)=0,"",SUMIF(Z$3:Z$55,AD3,AU$3:AU$55))</f>
        <v>5</v>
      </c>
      <c r="AF3" s="2">
        <f t="array" ref="AF3">IF($AE3&lt;&gt;"",((5-MAX(IF($Z$3:$Z$53=$AD3,C$3:C$53,"")))*2)^2,"")</f>
        <v>0</v>
      </c>
      <c r="AG3" s="2">
        <f t="array" ref="AG3">IF($AE3&lt;&gt;"",((5-MAX(IF($Z$3:$Z$53=$AD3,D$3:D$53,"")))*2)^2,"")</f>
        <v>16</v>
      </c>
      <c r="AH3" s="2">
        <f t="array" ref="AH3">IF($AE3&lt;&gt;"",((5-MAX(IF($Z$3:$Z$53=$AD3,E$3:E$53,"")))*2)^2,"")</f>
        <v>0</v>
      </c>
      <c r="AI3" s="2">
        <f t="array" ref="AI3">IF($AE3&lt;&gt;"",((5-MAX(IF($Z$3:$Z$53=$AD3,F$3:F$53,"")))*2)^2,"")</f>
        <v>4</v>
      </c>
      <c r="AJ3" s="2">
        <f>SUM(AF3:AI3)</f>
        <v>20</v>
      </c>
      <c r="AK3" s="2"/>
      <c r="AL3" s="2"/>
      <c r="AM3" s="2" t="s">
        <v>14</v>
      </c>
      <c r="AN3" s="2">
        <f>MIN(AE3:AE17)</f>
        <v>4</v>
      </c>
      <c r="AO3" s="2"/>
      <c r="AP3" s="2"/>
      <c r="AQ3" s="2"/>
      <c r="AR3" s="2"/>
      <c r="AS3" s="2"/>
      <c r="AT3" s="2"/>
      <c r="AU3" s="49">
        <v>5</v>
      </c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</row>
    <row r="4" spans="1:126" ht="15.75" thickBot="1" x14ac:dyDescent="0.3">
      <c r="A4" s="30" t="s">
        <v>93</v>
      </c>
      <c r="B4" s="31" t="s">
        <v>94</v>
      </c>
      <c r="C4" s="32">
        <v>5</v>
      </c>
      <c r="D4" s="32">
        <v>5</v>
      </c>
      <c r="E4" s="32">
        <v>4</v>
      </c>
      <c r="F4" s="33">
        <v>4</v>
      </c>
      <c r="G4" s="34"/>
      <c r="H4" s="34"/>
      <c r="I4" s="31"/>
      <c r="J4" s="32">
        <v>10</v>
      </c>
      <c r="K4" s="32">
        <v>6</v>
      </c>
      <c r="L4" s="35">
        <v>8</v>
      </c>
      <c r="M4" s="36">
        <v>5</v>
      </c>
      <c r="N4" s="32">
        <v>12</v>
      </c>
      <c r="O4" s="35">
        <v>1</v>
      </c>
      <c r="P4" s="35">
        <v>14</v>
      </c>
      <c r="Q4" s="36">
        <v>9</v>
      </c>
      <c r="R4" s="32">
        <v>2</v>
      </c>
      <c r="S4" s="35">
        <v>3</v>
      </c>
      <c r="T4" s="35">
        <v>13</v>
      </c>
      <c r="U4" s="35">
        <v>7</v>
      </c>
      <c r="V4" s="36">
        <v>15</v>
      </c>
      <c r="W4" s="32">
        <v>4</v>
      </c>
      <c r="X4" s="32">
        <v>11</v>
      </c>
      <c r="Y4" s="2"/>
      <c r="Z4" s="13">
        <v>12</v>
      </c>
      <c r="AA4" s="2">
        <f t="shared" ref="AA4:AA32" si="1">(_xlfn.IFNA(MATCH(Z4,J4:X4,0)-1,15-COUNTBLANK(J4:X4))^2)*SQRT(AU4)</f>
        <v>35.777087639996637</v>
      </c>
      <c r="AB4" s="13">
        <f t="shared" ref="AB4:AB10" si="2">_xlfn.IFNA(MATCH(Z4,J4:X4,0)-1,15-COUNTBLANK(J4:X4))+1</f>
        <v>5</v>
      </c>
      <c r="AC4" s="2"/>
      <c r="AD4" s="2">
        <v>2</v>
      </c>
      <c r="AE4" s="2">
        <f t="array" ref="AE4">IF(SUMIF(Z$3:Z$55,AD4,AU$3:AU$55)=0,"",SUMIF(Z$3:Z$55,AD4,AU$3:AU$55))</f>
        <v>4</v>
      </c>
      <c r="AF4" s="2">
        <f t="array" ref="AF4">IF($AE4&lt;&gt;"",((5-MAX(IF($Z$3:$Z$53=$AD4,C$3:C$53,"")))*2)^2,"")</f>
        <v>0</v>
      </c>
      <c r="AG4" s="2">
        <f t="array" ref="AG4">IF($AE4&lt;&gt;"",((5-MAX(IF($Z$3:$Z$53=$AD4,D$3:D$53,"")))*2)^2,"")</f>
        <v>4</v>
      </c>
      <c r="AH4" s="2">
        <f t="array" ref="AH4">IF($AE4&lt;&gt;"",((5-MAX(IF($Z$3:$Z$53=$AD4,E$3:E$53,"")))*2)^2,"")</f>
        <v>4</v>
      </c>
      <c r="AI4" s="2">
        <f t="array" ref="AI4">IF($AE4&lt;&gt;"",((5-MAX(IF($Z$3:$Z$53=$AD4,F$3:F$53,"")))*2)^2,"")</f>
        <v>4</v>
      </c>
      <c r="AJ4" s="2">
        <f t="shared" ref="AJ4:AJ17" si="3">SUM(AF4:AI4)</f>
        <v>12</v>
      </c>
      <c r="AK4" s="2"/>
      <c r="AL4" s="2"/>
      <c r="AM4" s="2"/>
      <c r="AN4" s="2"/>
      <c r="AO4" s="2"/>
      <c r="AP4" s="2"/>
      <c r="AQ4" s="2"/>
      <c r="AR4" s="2"/>
      <c r="AS4" s="2"/>
      <c r="AT4" s="2"/>
      <c r="AU4" s="50">
        <v>5</v>
      </c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</row>
    <row r="5" spans="1:126" ht="15.75" thickBot="1" x14ac:dyDescent="0.3">
      <c r="A5" s="37" t="s">
        <v>39</v>
      </c>
      <c r="B5" s="31" t="s">
        <v>40</v>
      </c>
      <c r="C5" s="32">
        <v>4</v>
      </c>
      <c r="D5" s="32">
        <v>4</v>
      </c>
      <c r="E5" s="32">
        <v>3</v>
      </c>
      <c r="F5" s="33">
        <v>4</v>
      </c>
      <c r="G5" s="34"/>
      <c r="H5" s="34"/>
      <c r="I5" s="31"/>
      <c r="J5" s="32">
        <v>13</v>
      </c>
      <c r="K5" s="32">
        <v>10</v>
      </c>
      <c r="L5" s="32">
        <v>2</v>
      </c>
      <c r="M5" s="32">
        <v>14</v>
      </c>
      <c r="N5" s="32">
        <v>3</v>
      </c>
      <c r="O5" s="32">
        <v>8</v>
      </c>
      <c r="P5" s="32">
        <v>1</v>
      </c>
      <c r="Q5" s="32">
        <v>6</v>
      </c>
      <c r="R5" s="32">
        <v>7</v>
      </c>
      <c r="S5" s="32">
        <v>9</v>
      </c>
      <c r="T5" s="32">
        <v>15</v>
      </c>
      <c r="U5" s="32">
        <v>12</v>
      </c>
      <c r="V5" s="32">
        <v>11</v>
      </c>
      <c r="W5" s="32">
        <v>5</v>
      </c>
      <c r="X5" s="33">
        <v>4</v>
      </c>
      <c r="Y5" s="2"/>
      <c r="Z5" s="13">
        <v>10</v>
      </c>
      <c r="AA5" s="2">
        <f t="shared" si="1"/>
        <v>2.2360679774997898</v>
      </c>
      <c r="AB5" s="13">
        <f t="shared" si="2"/>
        <v>2</v>
      </c>
      <c r="AC5" s="2"/>
      <c r="AD5" s="2">
        <v>3</v>
      </c>
      <c r="AE5" s="2">
        <f>IF(SUMIF(Z$3:Z$55,AD5,AU$3:AU$55)=0,"",SUMIF(Z$3:Z$55,AD5,AU$3:AU$55))</f>
        <v>4</v>
      </c>
      <c r="AF5" s="2">
        <f t="array" ref="AF5">IF($AE5&lt;&gt;"",((5-MAX(IF($Z$3:$Z$53=$AD5,C$3:C$53,"")))*2)^2,"")</f>
        <v>0</v>
      </c>
      <c r="AG5" s="2">
        <f t="array" ref="AG5">IF($AE5&lt;&gt;"",((5-MAX(IF($Z$3:$Z$53=$AD5,D$3:D$53,"")))*2)^2,"")</f>
        <v>0</v>
      </c>
      <c r="AH5" s="2">
        <f t="array" ref="AH5">IF($AE5&lt;&gt;"",((5-MAX(IF($Z$3:$Z$53=$AD5,E$3:E$53,"")))*2)^2,"")</f>
        <v>0</v>
      </c>
      <c r="AI5" s="2">
        <f t="array" ref="AI5">IF($AE5&lt;&gt;"",((5-MAX(IF($Z$3:$Z$53=$AD5,F$3:F$53,"")))*2)^2,"")</f>
        <v>0</v>
      </c>
      <c r="AJ5" s="2">
        <f t="shared" si="3"/>
        <v>0</v>
      </c>
      <c r="AK5" s="2"/>
      <c r="AL5" s="2"/>
      <c r="AM5" s="2"/>
      <c r="AN5" s="2"/>
      <c r="AO5" s="2"/>
      <c r="AP5" s="2"/>
      <c r="AQ5" s="2"/>
      <c r="AR5" s="2"/>
      <c r="AS5" s="2"/>
      <c r="AT5" s="2"/>
      <c r="AU5" s="50">
        <v>5</v>
      </c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</row>
    <row r="6" spans="1:126" ht="15.75" thickBot="1" x14ac:dyDescent="0.3">
      <c r="A6" s="30" t="s">
        <v>41</v>
      </c>
      <c r="B6" s="31" t="s">
        <v>42</v>
      </c>
      <c r="C6" s="32">
        <v>4</v>
      </c>
      <c r="D6" s="32">
        <v>2</v>
      </c>
      <c r="E6" s="32">
        <v>3</v>
      </c>
      <c r="F6" s="33">
        <v>3</v>
      </c>
      <c r="G6" s="34"/>
      <c r="H6" s="34"/>
      <c r="I6" s="31"/>
      <c r="J6" s="32">
        <v>10</v>
      </c>
      <c r="K6" s="32">
        <v>4</v>
      </c>
      <c r="L6" s="32">
        <v>1</v>
      </c>
      <c r="M6" s="32">
        <v>9</v>
      </c>
      <c r="N6" s="32">
        <v>12</v>
      </c>
      <c r="O6" s="32">
        <v>2</v>
      </c>
      <c r="P6" s="32">
        <v>5</v>
      </c>
      <c r="Q6" s="32">
        <v>6</v>
      </c>
      <c r="R6" s="32">
        <v>11</v>
      </c>
      <c r="S6" s="32">
        <v>3</v>
      </c>
      <c r="T6" s="32">
        <v>15</v>
      </c>
      <c r="U6" s="32">
        <v>7</v>
      </c>
      <c r="V6" s="32">
        <v>13</v>
      </c>
      <c r="W6" s="32">
        <v>14</v>
      </c>
      <c r="X6" s="33">
        <v>8</v>
      </c>
      <c r="Y6" s="2"/>
      <c r="Z6" s="13">
        <v>9</v>
      </c>
      <c r="AA6" s="2">
        <f t="shared" si="1"/>
        <v>9</v>
      </c>
      <c r="AB6" s="13">
        <f t="shared" si="2"/>
        <v>4</v>
      </c>
      <c r="AC6" s="2"/>
      <c r="AD6" s="2">
        <v>4</v>
      </c>
      <c r="AE6" s="2">
        <f>IF(SUMIF(Z$3:Z$55,AD6,AU$3:AU$55)=0,"",SUMIF(Z$3:Z$55,AD6,AU$3:AU$55))</f>
        <v>5</v>
      </c>
      <c r="AF6" s="2">
        <f t="array" ref="AF6">IF($AE6&lt;&gt;"",((5-MAX(IF($Z$3:$Z$53=$AD6,C$3:C$53,"")))*2)^2,"")</f>
        <v>0</v>
      </c>
      <c r="AG6" s="2">
        <f t="array" ref="AG6">IF($AE6&lt;&gt;"",((5-MAX(IF($Z$3:$Z$53=$AD6,D$3:D$53,"")))*2)^2,"")</f>
        <v>4</v>
      </c>
      <c r="AH6" s="2">
        <f t="array" ref="AH6">IF($AE6&lt;&gt;"",((5-MAX(IF($Z$3:$Z$53=$AD6,E$3:E$53,"")))*2)^2,"")</f>
        <v>0</v>
      </c>
      <c r="AI6" s="2">
        <f t="array" ref="AI6">IF($AE6&lt;&gt;"",((5-MAX(IF($Z$3:$Z$53=$AD6,F$3:F$53,"")))*2)^2,"")</f>
        <v>4</v>
      </c>
      <c r="AJ6" s="2">
        <f t="shared" si="3"/>
        <v>8</v>
      </c>
      <c r="AK6" s="2"/>
      <c r="AL6" s="2"/>
      <c r="AM6" s="2"/>
      <c r="AN6" s="2"/>
      <c r="AO6" s="2"/>
      <c r="AP6" s="2"/>
      <c r="AQ6" s="2"/>
      <c r="AR6" s="2"/>
      <c r="AS6" s="2"/>
      <c r="AT6" s="2"/>
      <c r="AU6" s="50">
        <v>1</v>
      </c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</row>
    <row r="7" spans="1:126" ht="15.75" thickBot="1" x14ac:dyDescent="0.3">
      <c r="A7" s="30" t="s">
        <v>80</v>
      </c>
      <c r="B7" s="31" t="s">
        <v>97</v>
      </c>
      <c r="C7" s="32">
        <v>5</v>
      </c>
      <c r="D7" s="32">
        <v>5</v>
      </c>
      <c r="E7" s="32">
        <v>4</v>
      </c>
      <c r="F7" s="33">
        <v>4</v>
      </c>
      <c r="G7" s="34"/>
      <c r="H7" s="34"/>
      <c r="I7" s="31"/>
      <c r="J7" s="32">
        <v>13</v>
      </c>
      <c r="K7" s="32">
        <v>7</v>
      </c>
      <c r="L7" s="32">
        <v>6</v>
      </c>
      <c r="M7" s="32">
        <v>3</v>
      </c>
      <c r="N7" s="32">
        <v>2</v>
      </c>
      <c r="O7" s="32">
        <v>10</v>
      </c>
      <c r="P7" s="32">
        <v>8</v>
      </c>
      <c r="Q7" s="32">
        <v>1</v>
      </c>
      <c r="R7" s="32">
        <v>15</v>
      </c>
      <c r="S7" s="32">
        <v>14</v>
      </c>
      <c r="T7" s="32">
        <v>9</v>
      </c>
      <c r="U7" s="32">
        <v>5</v>
      </c>
      <c r="V7" s="32">
        <v>4</v>
      </c>
      <c r="W7" s="32">
        <v>11</v>
      </c>
      <c r="X7" s="33">
        <v>12</v>
      </c>
      <c r="Y7" s="2"/>
      <c r="Z7" s="13">
        <v>13</v>
      </c>
      <c r="AA7" s="2">
        <f t="shared" si="1"/>
        <v>0</v>
      </c>
      <c r="AB7" s="13">
        <f t="shared" si="2"/>
        <v>1</v>
      </c>
      <c r="AC7" s="2"/>
      <c r="AD7" s="2">
        <v>5</v>
      </c>
      <c r="AE7" s="2">
        <f>IF(SUMIF(Z$3:Z$55,AD7,AU$3:AU$55)=0,"",SUMIF(Z$3:Z$55,AD7,AU$3:AU$55))</f>
        <v>4</v>
      </c>
      <c r="AF7" s="2">
        <f t="array" ref="AF7">IF($AE7&lt;&gt;"",((5-MAX(IF($Z$3:$Z$53=$AD7,C$3:C$53,"")))*2)^2,"")</f>
        <v>0</v>
      </c>
      <c r="AG7" s="2">
        <f t="array" ref="AG7">IF($AE7&lt;&gt;"",((5-MAX(IF($Z$3:$Z$53=$AD7,D$3:D$53,"")))*2)^2,"")</f>
        <v>4</v>
      </c>
      <c r="AH7" s="2">
        <f t="array" ref="AH7">IF($AE7&lt;&gt;"",((5-MAX(IF($Z$3:$Z$53=$AD7,E$3:E$53,"")))*2)^2,"")</f>
        <v>4</v>
      </c>
      <c r="AI7" s="2">
        <f t="array" ref="AI7">IF($AE7&lt;&gt;"",((5-MAX(IF($Z$3:$Z$53=$AD7,F$3:F$53,"")))*2)^2,"")</f>
        <v>4</v>
      </c>
      <c r="AJ7" s="2">
        <f t="shared" si="3"/>
        <v>12</v>
      </c>
      <c r="AK7" s="2"/>
      <c r="AL7" s="2"/>
      <c r="AM7" s="2"/>
      <c r="AN7" s="2"/>
      <c r="AO7" s="2"/>
      <c r="AP7" s="2"/>
      <c r="AQ7" s="2"/>
      <c r="AR7" s="2"/>
      <c r="AS7" s="2"/>
      <c r="AT7" s="2"/>
      <c r="AU7" s="50">
        <v>2</v>
      </c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</row>
    <row r="8" spans="1:126" ht="15.75" thickBot="1" x14ac:dyDescent="0.3">
      <c r="A8" s="30" t="s">
        <v>88</v>
      </c>
      <c r="B8" s="31" t="s">
        <v>89</v>
      </c>
      <c r="C8" s="32">
        <v>5</v>
      </c>
      <c r="D8" s="32">
        <v>5</v>
      </c>
      <c r="E8" s="32">
        <v>4</v>
      </c>
      <c r="F8" s="33">
        <v>4</v>
      </c>
      <c r="G8" s="32">
        <v>7</v>
      </c>
      <c r="H8" s="34"/>
      <c r="I8" s="31"/>
      <c r="J8" s="32">
        <v>7</v>
      </c>
      <c r="K8" s="32">
        <v>13</v>
      </c>
      <c r="L8" s="32">
        <v>14</v>
      </c>
      <c r="M8" s="32">
        <v>10</v>
      </c>
      <c r="N8" s="32">
        <v>2</v>
      </c>
      <c r="O8" s="32">
        <v>1</v>
      </c>
      <c r="P8" s="32">
        <v>5</v>
      </c>
      <c r="Q8" s="32">
        <v>15</v>
      </c>
      <c r="R8" s="32">
        <v>6</v>
      </c>
      <c r="S8" s="32">
        <v>3</v>
      </c>
      <c r="T8" s="32">
        <v>9</v>
      </c>
      <c r="U8" s="36">
        <v>8</v>
      </c>
      <c r="V8" s="32">
        <v>4</v>
      </c>
      <c r="W8" s="32">
        <v>12</v>
      </c>
      <c r="X8" s="32">
        <v>11</v>
      </c>
      <c r="Y8" s="2"/>
      <c r="Z8" s="13">
        <v>14</v>
      </c>
      <c r="AA8" s="2">
        <f t="shared" si="1"/>
        <v>8.9442719099991592</v>
      </c>
      <c r="AB8" s="13">
        <f t="shared" si="2"/>
        <v>3</v>
      </c>
      <c r="AC8" s="2"/>
      <c r="AD8" s="2">
        <v>6</v>
      </c>
      <c r="AE8" s="2">
        <f>IF(SUMIF(Z$3:Z$55,AD8,AU$3:AU$55)=0,"",SUMIF(Z$3:Z$55,AD8,AU$3:AU$55))</f>
        <v>5</v>
      </c>
      <c r="AF8" s="2">
        <f t="array" ref="AF8">IF($AE8&lt;&gt;"",((5-MAX(IF($Z$3:$Z$53=$AD8,C$3:C$53,"")))*2)^2,"")</f>
        <v>4</v>
      </c>
      <c r="AG8" s="2">
        <f t="array" ref="AG8">IF($AE8&lt;&gt;"",((5-MAX(IF($Z$3:$Z$53=$AD8,D$3:D$53,"")))*2)^2,"")</f>
        <v>4</v>
      </c>
      <c r="AH8" s="2">
        <f t="array" ref="AH8">IF($AE8&lt;&gt;"",((5-MAX(IF($Z$3:$Z$53=$AD8,E$3:E$53,"")))*2)^2,"")</f>
        <v>4</v>
      </c>
      <c r="AI8" s="2">
        <f t="array" ref="AI8">IF($AE8&lt;&gt;"",((5-MAX(IF($Z$3:$Z$53=$AD8,F$3:F$53,"")))*2)^2,"")</f>
        <v>0</v>
      </c>
      <c r="AJ8" s="2">
        <f t="shared" si="3"/>
        <v>12</v>
      </c>
      <c r="AK8" s="2"/>
      <c r="AL8" s="2"/>
      <c r="AM8" s="2"/>
      <c r="AN8" s="2"/>
      <c r="AO8" s="2"/>
      <c r="AP8" s="2"/>
      <c r="AQ8" s="2"/>
      <c r="AR8" s="2"/>
      <c r="AS8" s="2"/>
      <c r="AT8" s="2"/>
      <c r="AU8" s="50">
        <v>5</v>
      </c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</row>
    <row r="9" spans="1:126" ht="15.75" thickBot="1" x14ac:dyDescent="0.3">
      <c r="A9" s="30" t="s">
        <v>43</v>
      </c>
      <c r="B9" s="31" t="s">
        <v>44</v>
      </c>
      <c r="C9" s="32">
        <v>5</v>
      </c>
      <c r="D9" s="32">
        <v>4</v>
      </c>
      <c r="E9" s="32">
        <v>5</v>
      </c>
      <c r="F9" s="33">
        <v>4</v>
      </c>
      <c r="G9" s="32">
        <v>13</v>
      </c>
      <c r="H9" s="34"/>
      <c r="I9" s="31"/>
      <c r="J9" s="32">
        <v>13</v>
      </c>
      <c r="K9" s="32">
        <v>14</v>
      </c>
      <c r="L9" s="32">
        <v>15</v>
      </c>
      <c r="M9" s="36">
        <v>10</v>
      </c>
      <c r="N9" s="34"/>
      <c r="O9" s="34"/>
      <c r="P9" s="34"/>
      <c r="Q9" s="34"/>
      <c r="R9" s="34"/>
      <c r="S9" s="34"/>
      <c r="T9" s="34"/>
      <c r="U9" s="34"/>
      <c r="V9" s="34"/>
      <c r="W9" s="32">
        <v>12</v>
      </c>
      <c r="X9" s="33">
        <v>11</v>
      </c>
      <c r="Y9" s="2"/>
      <c r="Z9" s="13">
        <v>4</v>
      </c>
      <c r="AA9" s="2">
        <f t="shared" si="1"/>
        <v>80.498447189992433</v>
      </c>
      <c r="AB9" s="13">
        <v>5</v>
      </c>
      <c r="AC9" s="2"/>
      <c r="AD9" s="2">
        <v>7</v>
      </c>
      <c r="AE9" s="2">
        <f>IF(SUMIF(Z$3:Z$55,AD9,AU$3:AU$55)=0,"",SUMIF(Z$3:Z$55,AD9,AU$3:AU$55))</f>
        <v>5</v>
      </c>
      <c r="AF9" s="2">
        <f t="array" ref="AF9">IF($AE9&lt;&gt;"",((5-MAX(IF($Z$3:$Z$53=$AD9,C$3:C$53,"")))*2)^2,"")</f>
        <v>4</v>
      </c>
      <c r="AG9" s="2">
        <f t="array" ref="AG9">IF($AE9&lt;&gt;"",((5-MAX(IF($Z$3:$Z$53=$AD9,D$3:D$53,"")))*2)^2,"")</f>
        <v>0</v>
      </c>
      <c r="AH9" s="2">
        <f t="array" ref="AH9">IF($AE9&lt;&gt;"",((5-MAX(IF($Z$3:$Z$53=$AD9,E$3:E$53,"")))*2)^2,"")</f>
        <v>4</v>
      </c>
      <c r="AI9" s="2">
        <f t="array" ref="AI9">IF($AE9&lt;&gt;"",((5-MAX(IF($Z$3:$Z$53=$AD9,F$3:F$53,"")))*2)^2,"")</f>
        <v>4</v>
      </c>
      <c r="AJ9" s="2">
        <f t="shared" si="3"/>
        <v>12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50">
        <v>5</v>
      </c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</row>
    <row r="10" spans="1:126" ht="15.75" thickBot="1" x14ac:dyDescent="0.3">
      <c r="A10" s="30" t="s">
        <v>82</v>
      </c>
      <c r="B10" s="31" t="s">
        <v>83</v>
      </c>
      <c r="C10" s="32">
        <v>4</v>
      </c>
      <c r="D10" s="32">
        <v>4</v>
      </c>
      <c r="E10" s="32">
        <v>4</v>
      </c>
      <c r="F10" s="33">
        <v>5</v>
      </c>
      <c r="G10" s="34"/>
      <c r="H10" s="34"/>
      <c r="I10" s="38"/>
      <c r="J10" s="39">
        <v>6</v>
      </c>
      <c r="K10" s="39">
        <v>10</v>
      </c>
      <c r="L10" s="39">
        <v>15</v>
      </c>
      <c r="M10" s="39">
        <v>5</v>
      </c>
      <c r="N10" s="39">
        <v>3</v>
      </c>
      <c r="O10" s="39">
        <v>9</v>
      </c>
      <c r="P10" s="39">
        <v>14</v>
      </c>
      <c r="Q10" s="39">
        <v>4</v>
      </c>
      <c r="R10" s="39">
        <v>1</v>
      </c>
      <c r="S10" s="39">
        <v>13</v>
      </c>
      <c r="T10" s="39">
        <v>8</v>
      </c>
      <c r="U10" s="39">
        <v>12</v>
      </c>
      <c r="V10" s="39">
        <v>7</v>
      </c>
      <c r="W10" s="39">
        <v>2</v>
      </c>
      <c r="X10" s="39">
        <v>11</v>
      </c>
      <c r="Y10" s="2"/>
      <c r="Z10" s="13">
        <v>6</v>
      </c>
      <c r="AA10" s="2">
        <f t="shared" si="1"/>
        <v>0</v>
      </c>
      <c r="AB10" s="13">
        <f t="shared" si="2"/>
        <v>1</v>
      </c>
      <c r="AC10" s="2"/>
      <c r="AD10" s="2">
        <v>8</v>
      </c>
      <c r="AE10" s="2">
        <f t="shared" ref="AE10:AE12" si="4">IF(SUMIF(Z$3:Z$55,AD10,AU$3:AU$55)=0,"",SUMIF(Z$3:Z$55,AD10,AU$3:AU$55))</f>
        <v>5</v>
      </c>
      <c r="AF10" s="2">
        <f t="array" ref="AF10">IF($AE10&lt;&gt;"",((5-MAX(IF($Z$3:$Z$53=$AD10,C$3:C$53,"")))*2)^2,"")</f>
        <v>0</v>
      </c>
      <c r="AG10" s="2">
        <f t="array" ref="AG10">IF($AE10&lt;&gt;"",((5-MAX(IF($Z$3:$Z$53=$AD10,D$3:D$53,"")))*2)^2,"")</f>
        <v>0</v>
      </c>
      <c r="AH10" s="2">
        <f t="array" ref="AH10">IF($AE10&lt;&gt;"",((5-MAX(IF($Z$3:$Z$53=$AD10,E$3:E$53,"")))*2)^2,"")</f>
        <v>4</v>
      </c>
      <c r="AI10" s="2">
        <f t="array" ref="AI10">IF($AE10&lt;&gt;"",((5-MAX(IF($Z$3:$Z$53=$AD10,F$3:F$53,"")))*2)^2,"")</f>
        <v>4</v>
      </c>
      <c r="AJ10" s="2">
        <f t="shared" si="3"/>
        <v>8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50">
        <v>5</v>
      </c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</row>
    <row r="11" spans="1:126" ht="15.75" thickBot="1" x14ac:dyDescent="0.3">
      <c r="A11" s="30" t="s">
        <v>45</v>
      </c>
      <c r="B11" s="31" t="s">
        <v>46</v>
      </c>
      <c r="C11" s="32">
        <v>3</v>
      </c>
      <c r="D11" s="32">
        <v>2</v>
      </c>
      <c r="E11" s="32">
        <v>5</v>
      </c>
      <c r="F11" s="33">
        <v>4</v>
      </c>
      <c r="G11" s="34"/>
      <c r="H11" s="34"/>
      <c r="I11" s="31"/>
      <c r="J11" s="34"/>
      <c r="K11" s="32">
        <v>8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1"/>
      <c r="Y11" s="2"/>
      <c r="Z11" s="13">
        <v>11</v>
      </c>
      <c r="AA11" s="2">
        <f t="shared" si="1"/>
        <v>1</v>
      </c>
      <c r="AB11" s="13">
        <f t="shared" ref="AB11:AB32" si="5">_xlfn.IFNA(MATCH(Z11,J11:X11,0)-1,15-COUNTBLANK(J11:X11))+1</f>
        <v>2</v>
      </c>
      <c r="AC11" s="2"/>
      <c r="AD11" s="2">
        <v>9</v>
      </c>
      <c r="AE11" s="2">
        <f t="shared" si="4"/>
        <v>4</v>
      </c>
      <c r="AF11" s="2">
        <f t="array" ref="AF11">IF($AE11&lt;&gt;"",((5-MAX(IF($Z$3:$Z$53=$AD11,C$3:C$53,"")))*2)^2,"")</f>
        <v>4</v>
      </c>
      <c r="AG11" s="2">
        <f t="array" ref="AG11">IF($AE11&lt;&gt;"",((5-MAX(IF($Z$3:$Z$53=$AD11,D$3:D$53,"")))*2)^2,"")</f>
        <v>4</v>
      </c>
      <c r="AH11" s="2">
        <f t="array" ref="AH11">IF($AE11&lt;&gt;"",((5-MAX(IF($Z$3:$Z$53=$AD11,E$3:E$53,"")))*2)^2,"")</f>
        <v>4</v>
      </c>
      <c r="AI11" s="2">
        <f t="array" ref="AI11">IF($AE11&lt;&gt;"",((5-MAX(IF($Z$3:$Z$53=$AD11,F$3:F$53,"")))*2)^2,"")</f>
        <v>16</v>
      </c>
      <c r="AJ11" s="2">
        <f t="shared" si="3"/>
        <v>28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50">
        <v>1</v>
      </c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</row>
    <row r="12" spans="1:126" ht="15.75" thickBot="1" x14ac:dyDescent="0.3">
      <c r="A12" s="41" t="s">
        <v>47</v>
      </c>
      <c r="B12" s="42" t="s">
        <v>48</v>
      </c>
      <c r="C12" s="32">
        <v>5</v>
      </c>
      <c r="D12" s="32">
        <v>5</v>
      </c>
      <c r="E12" s="32">
        <v>4</v>
      </c>
      <c r="F12" s="33">
        <v>4</v>
      </c>
      <c r="G12" s="34"/>
      <c r="H12" s="34"/>
      <c r="I12" s="31"/>
      <c r="J12" s="32">
        <v>7</v>
      </c>
      <c r="K12" s="32">
        <v>8</v>
      </c>
      <c r="L12" s="32">
        <v>14</v>
      </c>
      <c r="M12" s="32">
        <v>3</v>
      </c>
      <c r="N12" s="32">
        <v>6</v>
      </c>
      <c r="O12" s="32">
        <v>10</v>
      </c>
      <c r="P12" s="32">
        <v>13</v>
      </c>
      <c r="Q12" s="32">
        <v>5</v>
      </c>
      <c r="R12" s="32">
        <v>15</v>
      </c>
      <c r="S12" s="32">
        <v>1</v>
      </c>
      <c r="T12" s="32">
        <v>12</v>
      </c>
      <c r="U12" s="32">
        <v>2</v>
      </c>
      <c r="V12" s="32">
        <v>9</v>
      </c>
      <c r="W12" s="32">
        <v>4</v>
      </c>
      <c r="X12" s="33">
        <v>11</v>
      </c>
      <c r="Y12" s="2"/>
      <c r="Z12" s="13">
        <v>8</v>
      </c>
      <c r="AA12" s="2">
        <f t="shared" si="1"/>
        <v>2.2360679774997898</v>
      </c>
      <c r="AB12" s="13">
        <f t="shared" si="5"/>
        <v>2</v>
      </c>
      <c r="AC12" s="2"/>
      <c r="AD12" s="2">
        <v>10</v>
      </c>
      <c r="AE12" s="2">
        <f t="shared" si="4"/>
        <v>5</v>
      </c>
      <c r="AF12" s="2">
        <f t="array" ref="AF12">IF($AE12&lt;&gt;"",((5-MAX(IF($Z$3:$Z$53=$AD12,C$3:C$53,"")))*2)^2,"")</f>
        <v>4</v>
      </c>
      <c r="AG12" s="2">
        <f t="array" ref="AG12">IF($AE12&lt;&gt;"",((5-MAX(IF($Z$3:$Z$53=$AD12,D$3:D$53,"")))*2)^2,"")</f>
        <v>4</v>
      </c>
      <c r="AH12" s="2">
        <f t="array" ref="AH12">IF($AE12&lt;&gt;"",((5-MAX(IF($Z$3:$Z$53=$AD12,E$3:E$53,"")))*2)^2,"")</f>
        <v>16</v>
      </c>
      <c r="AI12" s="2">
        <f t="array" ref="AI12">IF($AE12&lt;&gt;"",((5-MAX(IF($Z$3:$Z$53=$AD12,F$3:F$53,"")))*2)^2,"")</f>
        <v>4</v>
      </c>
      <c r="AJ12" s="2">
        <f t="shared" si="3"/>
        <v>28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50">
        <v>5</v>
      </c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</row>
    <row r="13" spans="1:126" ht="15.75" thickBot="1" x14ac:dyDescent="0.3">
      <c r="A13" s="30" t="s">
        <v>49</v>
      </c>
      <c r="B13" s="31" t="s">
        <v>50</v>
      </c>
      <c r="C13" s="32">
        <v>5</v>
      </c>
      <c r="D13" s="32">
        <v>3</v>
      </c>
      <c r="E13" s="32">
        <v>3</v>
      </c>
      <c r="F13" s="33">
        <v>4</v>
      </c>
      <c r="G13" s="34"/>
      <c r="H13" s="34"/>
      <c r="I13" s="31"/>
      <c r="J13" s="32">
        <v>2</v>
      </c>
      <c r="K13" s="32">
        <v>7</v>
      </c>
      <c r="L13" s="32">
        <v>4</v>
      </c>
      <c r="M13" s="32">
        <v>12</v>
      </c>
      <c r="N13" s="32">
        <v>13</v>
      </c>
      <c r="O13" s="32">
        <v>14</v>
      </c>
      <c r="P13" s="32">
        <v>5</v>
      </c>
      <c r="Q13" s="32">
        <v>6</v>
      </c>
      <c r="R13" s="32">
        <v>8</v>
      </c>
      <c r="S13" s="32">
        <v>10</v>
      </c>
      <c r="T13" s="32">
        <v>1</v>
      </c>
      <c r="U13" s="32">
        <v>3</v>
      </c>
      <c r="V13" s="32">
        <v>9</v>
      </c>
      <c r="W13" s="32">
        <v>15</v>
      </c>
      <c r="X13" s="33">
        <v>11</v>
      </c>
      <c r="Y13" s="2"/>
      <c r="Z13" s="13">
        <v>2</v>
      </c>
      <c r="AA13" s="2">
        <f t="shared" si="1"/>
        <v>0</v>
      </c>
      <c r="AB13" s="13">
        <f t="shared" si="5"/>
        <v>1</v>
      </c>
      <c r="AC13" s="2"/>
      <c r="AD13" s="2">
        <v>11</v>
      </c>
      <c r="AE13" s="2">
        <f>IF(SUMIF(Z$3:Z$55,AD13,AU$3:AU$55)=0,"",SUMIF(Z$3:Z$55,AD13,AU$3:AU$55))</f>
        <v>4</v>
      </c>
      <c r="AF13" s="2">
        <f t="array" ref="AF13">IF($AE13&lt;&gt;"",((5-MAX(IF($Z$3:$Z$53=$AD13,C$3:C$53,"")))*2)^2,"")</f>
        <v>4</v>
      </c>
      <c r="AG13" s="2">
        <f t="array" ref="AG13">IF($AE13&lt;&gt;"",((5-MAX(IF($Z$3:$Z$53=$AD13,D$3:D$53,"")))*2)^2,"")</f>
        <v>0</v>
      </c>
      <c r="AH13" s="2">
        <f t="array" ref="AH13">IF($AE13&lt;&gt;"",((5-MAX(IF($Z$3:$Z$53=$AD13,E$3:E$53,"")))*2)^2,"")</f>
        <v>0</v>
      </c>
      <c r="AI13" s="2">
        <f t="array" ref="AI13">IF($AE13&lt;&gt;"",((5-MAX(IF($Z$3:$Z$53=$AD13,F$3:F$53,"")))*2)^2,"")</f>
        <v>4</v>
      </c>
      <c r="AJ13" s="2">
        <f t="shared" si="3"/>
        <v>8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50">
        <v>1</v>
      </c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</row>
    <row r="14" spans="1:126" ht="15.75" thickBot="1" x14ac:dyDescent="0.3">
      <c r="A14" s="30" t="s">
        <v>51</v>
      </c>
      <c r="B14" s="31" t="s">
        <v>52</v>
      </c>
      <c r="C14" s="32">
        <v>5</v>
      </c>
      <c r="D14" s="32">
        <v>3</v>
      </c>
      <c r="E14" s="32">
        <v>4</v>
      </c>
      <c r="F14" s="33">
        <v>4</v>
      </c>
      <c r="G14" s="34"/>
      <c r="H14" s="34"/>
      <c r="I14" s="38"/>
      <c r="J14" s="55">
        <v>2</v>
      </c>
      <c r="K14" s="55">
        <v>13</v>
      </c>
      <c r="L14" s="55">
        <v>14</v>
      </c>
      <c r="M14" s="55">
        <v>7</v>
      </c>
      <c r="N14" s="55">
        <v>6</v>
      </c>
      <c r="O14" s="55">
        <v>1</v>
      </c>
      <c r="P14" s="55">
        <v>9</v>
      </c>
      <c r="Q14" s="55">
        <v>15</v>
      </c>
      <c r="R14" s="55">
        <v>3</v>
      </c>
      <c r="S14" s="55">
        <v>8</v>
      </c>
      <c r="T14" s="55">
        <v>10</v>
      </c>
      <c r="U14" s="55">
        <v>5</v>
      </c>
      <c r="V14" s="55">
        <v>12</v>
      </c>
      <c r="W14" s="55">
        <v>4</v>
      </c>
      <c r="X14" s="55">
        <v>11</v>
      </c>
      <c r="Y14" s="2"/>
      <c r="Z14" s="13">
        <v>13</v>
      </c>
      <c r="AA14" s="2">
        <f t="shared" si="1"/>
        <v>1</v>
      </c>
      <c r="AB14" s="13">
        <f t="shared" si="5"/>
        <v>2</v>
      </c>
      <c r="AC14" s="2"/>
      <c r="AD14" s="2">
        <v>12</v>
      </c>
      <c r="AE14" s="2">
        <f>IF(SUMIF(Z$3:Z$55,AD14,AU$3:AU$55)=0,"",SUMIF(Z$3:Z$55,AD14,AU$3:AU$55))</f>
        <v>5</v>
      </c>
      <c r="AF14" s="2">
        <f t="array" ref="AF14">IF($AE14&lt;&gt;"",((5-MAX(IF($Z$3:$Z$53=$AD14,C$3:C$53,"")))*2)^2,"")</f>
        <v>0</v>
      </c>
      <c r="AG14" s="2">
        <f t="array" ref="AG14">IF($AE14&lt;&gt;"",((5-MAX(IF($Z$3:$Z$53=$AD14,D$3:D$53,"")))*2)^2,"")</f>
        <v>0</v>
      </c>
      <c r="AH14" s="2">
        <f t="array" ref="AH14">IF($AE14&lt;&gt;"",((5-MAX(IF($Z$3:$Z$53=$AD14,E$3:E$53,"")))*2)^2,"")</f>
        <v>4</v>
      </c>
      <c r="AI14" s="2">
        <f t="array" ref="AI14">IF($AE14&lt;&gt;"",((5-MAX(IF($Z$3:$Z$53=$AD14,F$3:F$53,"")))*2)^2,"")</f>
        <v>4</v>
      </c>
      <c r="AJ14" s="2">
        <f t="shared" si="3"/>
        <v>8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50">
        <v>1</v>
      </c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</row>
    <row r="15" spans="1:126" ht="15.75" thickBot="1" x14ac:dyDescent="0.3">
      <c r="A15" s="30" t="s">
        <v>53</v>
      </c>
      <c r="B15" s="31" t="s">
        <v>54</v>
      </c>
      <c r="C15" s="32">
        <v>3</v>
      </c>
      <c r="D15" s="32">
        <v>4</v>
      </c>
      <c r="E15" s="32">
        <v>4</v>
      </c>
      <c r="F15" s="33">
        <v>3</v>
      </c>
      <c r="G15" s="34"/>
      <c r="H15" s="34"/>
      <c r="I15" s="31"/>
      <c r="J15" s="32">
        <v>5</v>
      </c>
      <c r="K15" s="32">
        <v>2</v>
      </c>
      <c r="L15" s="32">
        <v>9</v>
      </c>
      <c r="M15" s="32">
        <v>10</v>
      </c>
      <c r="N15" s="32">
        <v>6</v>
      </c>
      <c r="O15" s="32">
        <v>1</v>
      </c>
      <c r="P15" s="32">
        <v>7</v>
      </c>
      <c r="Q15" s="32">
        <v>8</v>
      </c>
      <c r="R15" s="32">
        <v>15</v>
      </c>
      <c r="S15" s="32">
        <v>13</v>
      </c>
      <c r="T15" s="32">
        <v>14</v>
      </c>
      <c r="U15" s="32">
        <v>4</v>
      </c>
      <c r="V15" s="32">
        <v>12</v>
      </c>
      <c r="W15" s="32">
        <v>3</v>
      </c>
      <c r="X15" s="33">
        <v>11</v>
      </c>
      <c r="Y15" s="2"/>
      <c r="Z15" s="13">
        <v>9</v>
      </c>
      <c r="AA15" s="2">
        <f t="shared" si="1"/>
        <v>5.6568542494923806</v>
      </c>
      <c r="AB15" s="13">
        <f t="shared" si="5"/>
        <v>3</v>
      </c>
      <c r="AC15" s="2"/>
      <c r="AD15" s="2">
        <v>13</v>
      </c>
      <c r="AE15" s="2">
        <f>IF(SUMIF(Z$3:Z$55,AD15,AU$3:AU$55)=0,"",SUMIF(Z$3:Z$55,AD15,AU$3:AU$55))</f>
        <v>5</v>
      </c>
      <c r="AF15" s="2">
        <f t="array" ref="AF15">IF($AE15&lt;&gt;"",((5-MAX(IF($Z$3:$Z$53=$AD15,C$3:C$53,"")))*2)^2,"")</f>
        <v>0</v>
      </c>
      <c r="AG15" s="2">
        <f t="array" ref="AG15">IF($AE15&lt;&gt;"",((5-MAX(IF($Z$3:$Z$53=$AD15,D$3:D$53,"")))*2)^2,"")</f>
        <v>0</v>
      </c>
      <c r="AH15" s="2">
        <f t="array" ref="AH15">IF($AE15&lt;&gt;"",((5-MAX(IF($Z$3:$Z$53=$AD15,E$3:E$53,"")))*2)^2,"")</f>
        <v>4</v>
      </c>
      <c r="AI15" s="2">
        <f t="array" ref="AI15">IF($AE15&lt;&gt;"",((5-MAX(IF($Z$3:$Z$53=$AD15,F$3:F$53,"")))*2)^2,"")</f>
        <v>4</v>
      </c>
      <c r="AJ15" s="2">
        <f t="shared" si="3"/>
        <v>8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50">
        <v>2</v>
      </c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</row>
    <row r="16" spans="1:126" ht="15.75" thickBot="1" x14ac:dyDescent="0.3">
      <c r="A16" s="30" t="s">
        <v>55</v>
      </c>
      <c r="B16" s="31" t="s">
        <v>56</v>
      </c>
      <c r="C16" s="32">
        <v>3</v>
      </c>
      <c r="D16" s="32">
        <v>4</v>
      </c>
      <c r="E16" s="32">
        <v>4</v>
      </c>
      <c r="F16" s="33">
        <v>4</v>
      </c>
      <c r="G16" s="34"/>
      <c r="H16" s="34"/>
      <c r="I16" s="31"/>
      <c r="J16" s="32">
        <v>7</v>
      </c>
      <c r="K16" s="32">
        <v>2</v>
      </c>
      <c r="L16" s="32">
        <v>14</v>
      </c>
      <c r="M16" s="32">
        <v>13</v>
      </c>
      <c r="N16" s="32">
        <v>10</v>
      </c>
      <c r="O16" s="32">
        <v>1</v>
      </c>
      <c r="P16" s="32">
        <v>5</v>
      </c>
      <c r="Q16" s="32">
        <v>8</v>
      </c>
      <c r="R16" s="32">
        <v>15</v>
      </c>
      <c r="S16" s="32">
        <v>12</v>
      </c>
      <c r="T16" s="32">
        <v>4</v>
      </c>
      <c r="U16" s="32">
        <v>3</v>
      </c>
      <c r="V16" s="32">
        <v>6</v>
      </c>
      <c r="W16" s="32">
        <v>9</v>
      </c>
      <c r="X16" s="33">
        <v>11</v>
      </c>
      <c r="Y16" s="2"/>
      <c r="Z16" s="13">
        <v>2</v>
      </c>
      <c r="AA16" s="2">
        <f t="shared" si="1"/>
        <v>1</v>
      </c>
      <c r="AB16" s="13">
        <f t="shared" si="5"/>
        <v>2</v>
      </c>
      <c r="AC16" s="2"/>
      <c r="AD16" s="2">
        <v>14</v>
      </c>
      <c r="AE16" s="2">
        <f>IF(SUMIF(Z$3:Z$55,AD16,AU$3:AU$55)=0,"",SUMIF(Z$3:Z$55,AD16,AU$3:AU$55))</f>
        <v>5</v>
      </c>
      <c r="AF16" s="2">
        <f t="array" ref="AF16">IF($AE16&lt;&gt;"",((5-MAX(IF($Z$3:$Z$53=$AD16,C$3:C$53,"")))*2)^2,"")</f>
        <v>0</v>
      </c>
      <c r="AG16" s="2">
        <f t="array" ref="AG16">IF($AE16&lt;&gt;"",((5-MAX(IF($Z$3:$Z$53=$AD16,D$3:D$53,"")))*2)^2,"")</f>
        <v>0</v>
      </c>
      <c r="AH16" s="2">
        <f t="array" ref="AH16">IF($AE16&lt;&gt;"",((5-MAX(IF($Z$3:$Z$53=$AD16,E$3:E$53,"")))*2)^2,"")</f>
        <v>4</v>
      </c>
      <c r="AI16" s="2">
        <f t="array" ref="AI16">IF($AE16&lt;&gt;"",((5-MAX(IF($Z$3:$Z$53=$AD16,F$3:F$53,"")))*2)^2,"")</f>
        <v>4</v>
      </c>
      <c r="AJ16" s="2">
        <f t="shared" si="3"/>
        <v>8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50">
        <v>1</v>
      </c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</row>
    <row r="17" spans="1:126" ht="15.75" thickBot="1" x14ac:dyDescent="0.3">
      <c r="A17" s="30" t="s">
        <v>98</v>
      </c>
      <c r="B17" s="31" t="s">
        <v>58</v>
      </c>
      <c r="C17" s="32">
        <v>5</v>
      </c>
      <c r="D17" s="32">
        <v>3</v>
      </c>
      <c r="E17" s="32">
        <v>5</v>
      </c>
      <c r="F17" s="33">
        <v>4</v>
      </c>
      <c r="G17" s="34"/>
      <c r="H17" s="34"/>
      <c r="I17" s="31"/>
      <c r="J17" s="32">
        <v>13</v>
      </c>
      <c r="K17" s="32">
        <v>15</v>
      </c>
      <c r="L17" s="32">
        <v>1</v>
      </c>
      <c r="M17" s="32">
        <v>14</v>
      </c>
      <c r="N17" s="32">
        <v>7</v>
      </c>
      <c r="O17" s="32">
        <v>5</v>
      </c>
      <c r="P17" s="32">
        <v>3</v>
      </c>
      <c r="Q17" s="32">
        <v>10</v>
      </c>
      <c r="R17" s="32">
        <v>2</v>
      </c>
      <c r="S17" s="32">
        <v>6</v>
      </c>
      <c r="T17" s="32">
        <v>12</v>
      </c>
      <c r="U17" s="32">
        <v>9</v>
      </c>
      <c r="V17" s="32">
        <v>8</v>
      </c>
      <c r="W17" s="32">
        <v>4</v>
      </c>
      <c r="X17" s="33">
        <v>11</v>
      </c>
      <c r="Y17" s="2"/>
      <c r="Z17" s="13">
        <v>1</v>
      </c>
      <c r="AA17" s="2">
        <f t="shared" si="1"/>
        <v>8.9442719099991592</v>
      </c>
      <c r="AB17" s="13">
        <f t="shared" si="5"/>
        <v>3</v>
      </c>
      <c r="AC17" s="2"/>
      <c r="AD17" s="2">
        <v>15</v>
      </c>
      <c r="AE17" s="2">
        <f>IF(SUMIF(Z$3:Z$55,AD17,AU$3:AU$55)=0,"",SUMIF(Z$3:Z$55,AD17,AU$3:AU$55))</f>
        <v>5</v>
      </c>
      <c r="AF17" s="2">
        <f t="array" ref="AF17">IF($AE17&lt;&gt;"",((5-MAX(IF($Z$3:$Z$53=$AD17,C$3:C$53,"")))*2)^2,"")</f>
        <v>0</v>
      </c>
      <c r="AG17" s="2">
        <f t="array" ref="AG17">IF($AE17&lt;&gt;"",((5-MAX(IF($Z$3:$Z$53=$AD17,D$3:D$53,"")))*2)^2,"")</f>
        <v>4</v>
      </c>
      <c r="AH17" s="2">
        <f t="array" ref="AH17">IF($AE17&lt;&gt;"",((5-MAX(IF($Z$3:$Z$53=$AD17,E$3:E$53,"")))*2)^2,"")</f>
        <v>0</v>
      </c>
      <c r="AI17" s="2">
        <f t="array" ref="AI17">IF($AE17&lt;&gt;"",((5-MAX(IF($Z$3:$Z$53=$AD17,F$3:F$53,"")))*2)^2,"")</f>
        <v>4</v>
      </c>
      <c r="AJ17" s="2">
        <f t="shared" si="3"/>
        <v>8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50">
        <v>5</v>
      </c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</row>
    <row r="18" spans="1:126" ht="15.75" thickBot="1" x14ac:dyDescent="0.3">
      <c r="A18" s="30" t="s">
        <v>59</v>
      </c>
      <c r="B18" s="31" t="s">
        <v>60</v>
      </c>
      <c r="C18" s="32">
        <v>3</v>
      </c>
      <c r="D18" s="32">
        <v>1</v>
      </c>
      <c r="E18" s="32">
        <v>4</v>
      </c>
      <c r="F18" s="33">
        <v>3</v>
      </c>
      <c r="G18" s="34"/>
      <c r="H18" s="34"/>
      <c r="I18" s="31"/>
      <c r="J18" s="32">
        <v>8</v>
      </c>
      <c r="K18" s="32">
        <v>14</v>
      </c>
      <c r="L18" s="32">
        <v>13</v>
      </c>
      <c r="M18" s="32">
        <v>10</v>
      </c>
      <c r="N18" s="32">
        <v>15</v>
      </c>
      <c r="O18" s="32">
        <v>2</v>
      </c>
      <c r="P18" s="32">
        <v>9</v>
      </c>
      <c r="Q18" s="32">
        <v>4</v>
      </c>
      <c r="R18" s="32">
        <v>6</v>
      </c>
      <c r="S18" s="32">
        <v>12</v>
      </c>
      <c r="T18" s="32">
        <v>7</v>
      </c>
      <c r="U18" s="32">
        <v>3</v>
      </c>
      <c r="V18" s="32">
        <v>1</v>
      </c>
      <c r="W18" s="32">
        <v>5</v>
      </c>
      <c r="X18" s="33">
        <v>11</v>
      </c>
      <c r="Y18" s="2"/>
      <c r="Z18" s="13">
        <v>13</v>
      </c>
      <c r="AA18" s="2">
        <f t="shared" si="1"/>
        <v>4</v>
      </c>
      <c r="AB18" s="13">
        <f t="shared" si="5"/>
        <v>3</v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50">
        <v>1</v>
      </c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</row>
    <row r="19" spans="1:126" ht="15.75" thickBot="1" x14ac:dyDescent="0.3">
      <c r="A19" s="30" t="s">
        <v>99</v>
      </c>
      <c r="B19" s="31" t="s">
        <v>100</v>
      </c>
      <c r="C19" s="32">
        <v>5</v>
      </c>
      <c r="D19" s="32">
        <v>5</v>
      </c>
      <c r="E19" s="32">
        <v>3</v>
      </c>
      <c r="F19" s="33">
        <v>3</v>
      </c>
      <c r="G19" s="34"/>
      <c r="H19" s="34"/>
      <c r="I19" s="31"/>
      <c r="J19" s="32">
        <v>7</v>
      </c>
      <c r="K19" s="32">
        <v>13</v>
      </c>
      <c r="L19" s="32">
        <v>10</v>
      </c>
      <c r="M19" s="32">
        <v>3</v>
      </c>
      <c r="N19" s="32">
        <v>14</v>
      </c>
      <c r="O19" s="32">
        <v>15</v>
      </c>
      <c r="P19" s="32">
        <v>1</v>
      </c>
      <c r="Q19" s="32">
        <v>5</v>
      </c>
      <c r="R19" s="32">
        <v>8</v>
      </c>
      <c r="S19" s="32">
        <v>9</v>
      </c>
      <c r="T19" s="32">
        <v>6</v>
      </c>
      <c r="U19" s="32">
        <v>4</v>
      </c>
      <c r="V19" s="32">
        <v>12</v>
      </c>
      <c r="W19" s="32">
        <v>2</v>
      </c>
      <c r="X19" s="33">
        <v>11</v>
      </c>
      <c r="Y19" s="2"/>
      <c r="Z19" s="13">
        <v>3</v>
      </c>
      <c r="AA19" s="2">
        <f t="shared" si="1"/>
        <v>12.727922061357857</v>
      </c>
      <c r="AB19" s="13">
        <f t="shared" si="5"/>
        <v>4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50">
        <v>2</v>
      </c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</row>
    <row r="20" spans="1:126" ht="15.75" thickBot="1" x14ac:dyDescent="0.3">
      <c r="A20" s="30" t="s">
        <v>63</v>
      </c>
      <c r="B20" s="31" t="s">
        <v>64</v>
      </c>
      <c r="C20" s="32">
        <v>3</v>
      </c>
      <c r="D20" s="32">
        <v>3</v>
      </c>
      <c r="E20" s="32">
        <v>4</v>
      </c>
      <c r="F20" s="33">
        <v>4</v>
      </c>
      <c r="G20" s="32">
        <v>1</v>
      </c>
      <c r="H20" s="32">
        <v>12</v>
      </c>
      <c r="I20" s="31"/>
      <c r="J20" s="32">
        <v>1</v>
      </c>
      <c r="K20" s="32">
        <v>12</v>
      </c>
      <c r="L20" s="32">
        <v>2</v>
      </c>
      <c r="M20" s="32">
        <v>3</v>
      </c>
      <c r="N20" s="32">
        <v>4</v>
      </c>
      <c r="O20" s="32">
        <v>5</v>
      </c>
      <c r="P20" s="32">
        <v>6</v>
      </c>
      <c r="Q20" s="32">
        <v>7</v>
      </c>
      <c r="R20" s="32">
        <v>8</v>
      </c>
      <c r="S20" s="32">
        <v>9</v>
      </c>
      <c r="T20" s="32">
        <v>10</v>
      </c>
      <c r="U20" s="32">
        <v>11</v>
      </c>
      <c r="V20" s="32">
        <v>13</v>
      </c>
      <c r="W20" s="32">
        <v>14</v>
      </c>
      <c r="X20" s="33">
        <v>15</v>
      </c>
      <c r="Y20" s="2"/>
      <c r="Z20" s="13">
        <v>2</v>
      </c>
      <c r="AA20" s="2">
        <f t="shared" si="1"/>
        <v>4</v>
      </c>
      <c r="AB20" s="13">
        <f t="shared" si="5"/>
        <v>3</v>
      </c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50">
        <v>1</v>
      </c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</row>
    <row r="21" spans="1:126" ht="15.75" thickBot="1" x14ac:dyDescent="0.3">
      <c r="A21" s="44" t="s">
        <v>65</v>
      </c>
      <c r="B21" s="42" t="s">
        <v>66</v>
      </c>
      <c r="C21" s="36">
        <v>3</v>
      </c>
      <c r="D21" s="36">
        <v>3</v>
      </c>
      <c r="E21" s="36">
        <v>2</v>
      </c>
      <c r="F21" s="45">
        <v>3</v>
      </c>
      <c r="G21" s="43"/>
      <c r="H21" s="43"/>
      <c r="I21" s="42"/>
      <c r="J21" s="36">
        <v>7</v>
      </c>
      <c r="K21" s="36">
        <v>15</v>
      </c>
      <c r="L21" s="36">
        <v>12</v>
      </c>
      <c r="M21" s="36">
        <v>14</v>
      </c>
      <c r="N21" s="36">
        <v>10</v>
      </c>
      <c r="O21" s="36">
        <v>13</v>
      </c>
      <c r="P21" s="36">
        <v>5</v>
      </c>
      <c r="Q21" s="36">
        <v>2</v>
      </c>
      <c r="R21" s="36">
        <v>6</v>
      </c>
      <c r="S21" s="36">
        <v>9</v>
      </c>
      <c r="T21" s="36">
        <v>4</v>
      </c>
      <c r="U21" s="36">
        <v>8</v>
      </c>
      <c r="V21" s="36">
        <v>1</v>
      </c>
      <c r="W21" s="36">
        <v>3</v>
      </c>
      <c r="X21" s="45">
        <v>11</v>
      </c>
      <c r="Y21" s="2"/>
      <c r="Z21" s="13">
        <v>7</v>
      </c>
      <c r="AA21" s="2">
        <f t="shared" si="1"/>
        <v>0</v>
      </c>
      <c r="AB21" s="13">
        <f t="shared" si="5"/>
        <v>1</v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51">
        <v>1</v>
      </c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</row>
    <row r="22" spans="1:126" ht="15.75" thickBot="1" x14ac:dyDescent="0.3">
      <c r="A22" s="30" t="s">
        <v>67</v>
      </c>
      <c r="B22" s="31" t="s">
        <v>68</v>
      </c>
      <c r="C22" s="32">
        <v>3</v>
      </c>
      <c r="D22" s="32">
        <v>2</v>
      </c>
      <c r="E22" s="32">
        <v>5</v>
      </c>
      <c r="F22" s="33">
        <v>5</v>
      </c>
      <c r="G22" s="32">
        <v>3</v>
      </c>
      <c r="H22" s="32">
        <v>2</v>
      </c>
      <c r="I22" s="33">
        <v>10</v>
      </c>
      <c r="J22" s="32">
        <v>3</v>
      </c>
      <c r="K22" s="32">
        <v>2</v>
      </c>
      <c r="L22" s="32">
        <v>10</v>
      </c>
      <c r="M22" s="32">
        <v>7</v>
      </c>
      <c r="N22" s="32">
        <v>11</v>
      </c>
      <c r="O22" s="32">
        <v>13</v>
      </c>
      <c r="P22" s="32">
        <v>9</v>
      </c>
      <c r="Q22" s="32">
        <v>5</v>
      </c>
      <c r="R22" s="32">
        <v>8</v>
      </c>
      <c r="S22" s="32">
        <v>4</v>
      </c>
      <c r="T22" s="32">
        <v>1</v>
      </c>
      <c r="U22" s="32">
        <v>6</v>
      </c>
      <c r="V22" s="32">
        <v>10</v>
      </c>
      <c r="W22" s="32">
        <v>9</v>
      </c>
      <c r="X22" s="33">
        <v>12</v>
      </c>
      <c r="Y22" s="2"/>
      <c r="Z22" s="13">
        <v>3</v>
      </c>
      <c r="AA22" s="2">
        <f t="shared" si="1"/>
        <v>0</v>
      </c>
      <c r="AB22" s="13">
        <f t="shared" si="5"/>
        <v>1</v>
      </c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50">
        <v>1</v>
      </c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</row>
    <row r="23" spans="1:126" ht="15.75" thickBot="1" x14ac:dyDescent="0.3">
      <c r="A23" s="30" t="s">
        <v>69</v>
      </c>
      <c r="B23" s="31" t="s">
        <v>70</v>
      </c>
      <c r="C23" s="32">
        <v>2</v>
      </c>
      <c r="D23" s="32">
        <v>2</v>
      </c>
      <c r="E23" s="32">
        <v>3</v>
      </c>
      <c r="F23" s="33">
        <v>3</v>
      </c>
      <c r="G23" s="34"/>
      <c r="H23" s="34"/>
      <c r="I23" s="31"/>
      <c r="J23" s="32">
        <v>2</v>
      </c>
      <c r="K23" s="32">
        <v>9</v>
      </c>
      <c r="L23" s="32">
        <v>7</v>
      </c>
      <c r="M23" s="32">
        <v>15</v>
      </c>
      <c r="N23" s="32">
        <v>12</v>
      </c>
      <c r="O23" s="32">
        <v>3</v>
      </c>
      <c r="P23" s="32">
        <v>10</v>
      </c>
      <c r="Q23" s="32">
        <v>13</v>
      </c>
      <c r="R23" s="32">
        <v>5</v>
      </c>
      <c r="S23" s="32">
        <v>1</v>
      </c>
      <c r="T23" s="32">
        <v>8</v>
      </c>
      <c r="U23" s="32">
        <v>14</v>
      </c>
      <c r="V23" s="32">
        <v>6</v>
      </c>
      <c r="W23" s="32">
        <v>4</v>
      </c>
      <c r="X23" s="33">
        <v>11</v>
      </c>
      <c r="Y23" s="2"/>
      <c r="Z23" s="13">
        <v>2</v>
      </c>
      <c r="AA23" s="2">
        <f t="shared" si="1"/>
        <v>0</v>
      </c>
      <c r="AB23" s="13">
        <f t="shared" si="5"/>
        <v>1</v>
      </c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50">
        <v>1</v>
      </c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</row>
    <row r="24" spans="1:126" ht="15.75" thickBot="1" x14ac:dyDescent="0.3">
      <c r="A24" s="30" t="s">
        <v>95</v>
      </c>
      <c r="B24" s="31" t="s">
        <v>96</v>
      </c>
      <c r="C24" s="32">
        <v>2</v>
      </c>
      <c r="D24" s="32">
        <v>3</v>
      </c>
      <c r="E24" s="32">
        <v>4</v>
      </c>
      <c r="F24" s="33">
        <v>4</v>
      </c>
      <c r="G24" s="34"/>
      <c r="H24" s="34"/>
      <c r="I24" s="34"/>
      <c r="J24" s="56">
        <v>13</v>
      </c>
      <c r="K24" s="56">
        <v>14</v>
      </c>
      <c r="L24" s="56">
        <v>7</v>
      </c>
      <c r="M24" s="56">
        <v>10</v>
      </c>
      <c r="N24" s="56">
        <v>2</v>
      </c>
      <c r="O24" s="56">
        <v>1</v>
      </c>
      <c r="P24" s="56">
        <v>5</v>
      </c>
      <c r="Q24" s="56">
        <v>4</v>
      </c>
      <c r="R24" s="56">
        <v>15</v>
      </c>
      <c r="S24" s="56">
        <v>12</v>
      </c>
      <c r="T24" s="56">
        <v>9</v>
      </c>
      <c r="U24" s="56">
        <v>3</v>
      </c>
      <c r="V24" s="56">
        <v>8</v>
      </c>
      <c r="W24" s="56">
        <v>6</v>
      </c>
      <c r="X24" s="56">
        <v>11</v>
      </c>
      <c r="Y24" s="2"/>
      <c r="Z24" s="13">
        <v>7</v>
      </c>
      <c r="AA24" s="2">
        <f t="shared" si="1"/>
        <v>6.9282032302755088</v>
      </c>
      <c r="AB24" s="13">
        <f t="shared" si="5"/>
        <v>3</v>
      </c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50">
        <v>3</v>
      </c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</row>
    <row r="25" spans="1:126" ht="15.75" thickBot="1" x14ac:dyDescent="0.3">
      <c r="A25" s="30" t="s">
        <v>71</v>
      </c>
      <c r="B25" s="31" t="s">
        <v>72</v>
      </c>
      <c r="C25" s="32">
        <v>2</v>
      </c>
      <c r="D25" s="32">
        <v>2</v>
      </c>
      <c r="E25" s="32">
        <v>2</v>
      </c>
      <c r="F25" s="33">
        <v>4</v>
      </c>
      <c r="G25" s="34"/>
      <c r="H25" s="34"/>
      <c r="I25" s="38"/>
      <c r="J25" s="46">
        <v>15</v>
      </c>
      <c r="K25" s="46">
        <v>14</v>
      </c>
      <c r="L25" s="46">
        <v>13</v>
      </c>
      <c r="M25" s="46">
        <v>7</v>
      </c>
      <c r="N25" s="46">
        <v>3</v>
      </c>
      <c r="O25" s="46">
        <v>12</v>
      </c>
      <c r="P25" s="46">
        <v>10</v>
      </c>
      <c r="Q25" s="46">
        <v>5</v>
      </c>
      <c r="R25" s="32">
        <v>8</v>
      </c>
      <c r="S25" s="32">
        <v>9</v>
      </c>
      <c r="T25" s="32">
        <v>5</v>
      </c>
      <c r="U25" s="32">
        <v>4</v>
      </c>
      <c r="V25" s="32">
        <v>1</v>
      </c>
      <c r="W25" s="32">
        <v>2</v>
      </c>
      <c r="X25" s="33">
        <v>11</v>
      </c>
      <c r="Y25" s="2"/>
      <c r="Z25" s="13">
        <v>13</v>
      </c>
      <c r="AA25" s="2">
        <f t="shared" si="1"/>
        <v>4</v>
      </c>
      <c r="AB25" s="13">
        <f t="shared" si="5"/>
        <v>3</v>
      </c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50">
        <v>1</v>
      </c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</row>
    <row r="26" spans="1:126" ht="15.75" thickBot="1" x14ac:dyDescent="0.3">
      <c r="A26" s="30" t="s">
        <v>73</v>
      </c>
      <c r="B26" s="31" t="s">
        <v>74</v>
      </c>
      <c r="C26" s="32">
        <v>4</v>
      </c>
      <c r="D26" s="32">
        <v>5</v>
      </c>
      <c r="E26" s="32">
        <v>2</v>
      </c>
      <c r="F26" s="33">
        <v>3</v>
      </c>
      <c r="G26" s="34"/>
      <c r="H26" s="34"/>
      <c r="I26" s="31"/>
      <c r="J26" s="32">
        <v>2</v>
      </c>
      <c r="K26" s="32">
        <v>7</v>
      </c>
      <c r="L26" s="32">
        <v>13</v>
      </c>
      <c r="M26" s="32">
        <v>14</v>
      </c>
      <c r="N26" s="32">
        <v>9</v>
      </c>
      <c r="O26" s="32">
        <v>5</v>
      </c>
      <c r="P26" s="32">
        <v>10</v>
      </c>
      <c r="Q26" s="47">
        <v>3</v>
      </c>
      <c r="R26" s="32">
        <v>8</v>
      </c>
      <c r="S26" s="32">
        <v>6</v>
      </c>
      <c r="T26" s="32">
        <v>1</v>
      </c>
      <c r="U26" s="32">
        <v>15</v>
      </c>
      <c r="V26" s="32">
        <v>12</v>
      </c>
      <c r="W26" s="32">
        <v>4</v>
      </c>
      <c r="X26" s="33">
        <v>11</v>
      </c>
      <c r="Y26" s="2"/>
      <c r="Z26" s="13">
        <v>7</v>
      </c>
      <c r="AA26" s="2">
        <f t="shared" si="1"/>
        <v>1</v>
      </c>
      <c r="AB26" s="13">
        <f t="shared" si="5"/>
        <v>2</v>
      </c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50">
        <v>1</v>
      </c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</row>
    <row r="27" spans="1:126" ht="15.75" thickBot="1" x14ac:dyDescent="0.3">
      <c r="A27" s="30" t="s">
        <v>75</v>
      </c>
      <c r="B27" s="31" t="s">
        <v>76</v>
      </c>
      <c r="C27" s="32">
        <v>3</v>
      </c>
      <c r="D27" s="32">
        <v>4</v>
      </c>
      <c r="E27" s="32">
        <v>4</v>
      </c>
      <c r="F27" s="33">
        <v>4</v>
      </c>
      <c r="G27" s="34"/>
      <c r="H27" s="34"/>
      <c r="I27" s="31"/>
      <c r="J27" s="32">
        <v>13</v>
      </c>
      <c r="K27" s="32">
        <v>3</v>
      </c>
      <c r="L27" s="32">
        <v>5</v>
      </c>
      <c r="M27" s="32">
        <v>7</v>
      </c>
      <c r="N27" s="48">
        <v>2</v>
      </c>
      <c r="O27" s="47">
        <v>6</v>
      </c>
      <c r="P27" s="32">
        <v>9</v>
      </c>
      <c r="Q27" s="32">
        <v>1</v>
      </c>
      <c r="R27" s="32">
        <v>15</v>
      </c>
      <c r="S27" s="32">
        <v>12</v>
      </c>
      <c r="T27" s="32">
        <v>10</v>
      </c>
      <c r="U27" s="32">
        <v>4</v>
      </c>
      <c r="V27" s="32">
        <v>8</v>
      </c>
      <c r="W27" s="32">
        <v>14</v>
      </c>
      <c r="X27" s="33">
        <v>11</v>
      </c>
      <c r="Y27" s="2"/>
      <c r="Z27" s="13">
        <v>3</v>
      </c>
      <c r="AA27" s="2">
        <f t="shared" si="1"/>
        <v>1</v>
      </c>
      <c r="AB27" s="13">
        <f t="shared" si="5"/>
        <v>2</v>
      </c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50">
        <v>1</v>
      </c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</row>
    <row r="28" spans="1:126" ht="15.75" thickBot="1" x14ac:dyDescent="0.3">
      <c r="A28" s="30" t="s">
        <v>90</v>
      </c>
      <c r="B28" s="31" t="s">
        <v>91</v>
      </c>
      <c r="C28" s="32">
        <v>4</v>
      </c>
      <c r="D28" s="32">
        <v>5</v>
      </c>
      <c r="E28" s="32">
        <v>2</v>
      </c>
      <c r="F28" s="33">
        <v>4</v>
      </c>
      <c r="G28" s="34"/>
      <c r="H28" s="34"/>
      <c r="I28" s="31"/>
      <c r="J28" s="32">
        <v>15</v>
      </c>
      <c r="K28" s="32">
        <v>14</v>
      </c>
      <c r="L28" s="32">
        <v>7</v>
      </c>
      <c r="M28" s="32">
        <v>13</v>
      </c>
      <c r="N28" s="32">
        <v>3</v>
      </c>
      <c r="O28" s="32">
        <v>2</v>
      </c>
      <c r="P28" s="32">
        <v>8</v>
      </c>
      <c r="Q28" s="32">
        <v>11</v>
      </c>
      <c r="R28" s="32">
        <v>9</v>
      </c>
      <c r="S28" s="32">
        <v>1</v>
      </c>
      <c r="T28" s="32">
        <v>12</v>
      </c>
      <c r="U28" s="32">
        <v>10</v>
      </c>
      <c r="V28" s="32">
        <v>6</v>
      </c>
      <c r="W28" s="32">
        <v>5</v>
      </c>
      <c r="X28" s="33">
        <v>4</v>
      </c>
      <c r="Y28" s="2"/>
      <c r="Z28" s="13">
        <v>11</v>
      </c>
      <c r="AA28" s="2">
        <f t="shared" si="1"/>
        <v>84.87048957087498</v>
      </c>
      <c r="AB28" s="13">
        <f t="shared" si="5"/>
        <v>8</v>
      </c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50">
        <v>3</v>
      </c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</row>
    <row r="29" spans="1:126" ht="15.75" thickBot="1" x14ac:dyDescent="0.3">
      <c r="A29" s="30" t="s">
        <v>77</v>
      </c>
      <c r="B29" s="31" t="s">
        <v>78</v>
      </c>
      <c r="C29" s="32">
        <v>2</v>
      </c>
      <c r="D29" s="32">
        <v>3</v>
      </c>
      <c r="E29" s="32">
        <v>4</v>
      </c>
      <c r="F29" s="33">
        <v>4</v>
      </c>
      <c r="G29" s="34"/>
      <c r="H29" s="34"/>
      <c r="I29" s="31"/>
      <c r="J29" s="32">
        <v>10</v>
      </c>
      <c r="K29" s="32">
        <v>5</v>
      </c>
      <c r="L29" s="32">
        <v>13</v>
      </c>
      <c r="M29" s="32">
        <v>12</v>
      </c>
      <c r="N29" s="32">
        <v>11</v>
      </c>
      <c r="O29" s="47">
        <v>2</v>
      </c>
      <c r="P29" s="32">
        <v>3</v>
      </c>
      <c r="Q29" s="32">
        <v>4</v>
      </c>
      <c r="R29" s="32">
        <v>7</v>
      </c>
      <c r="S29" s="32">
        <v>15</v>
      </c>
      <c r="T29" s="32">
        <v>14</v>
      </c>
      <c r="U29" s="32">
        <v>1</v>
      </c>
      <c r="V29" s="32">
        <v>6</v>
      </c>
      <c r="W29" s="32">
        <v>9</v>
      </c>
      <c r="X29" s="33">
        <v>8</v>
      </c>
      <c r="Y29" s="2"/>
      <c r="Z29" s="13">
        <v>5</v>
      </c>
      <c r="AA29" s="2">
        <f t="shared" si="1"/>
        <v>1</v>
      </c>
      <c r="AB29" s="13">
        <f t="shared" si="5"/>
        <v>2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50">
        <v>1</v>
      </c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</row>
    <row r="30" spans="1:126" ht="15.75" thickBot="1" x14ac:dyDescent="0.3">
      <c r="A30" s="30" t="s">
        <v>84</v>
      </c>
      <c r="B30" s="31" t="s">
        <v>85</v>
      </c>
      <c r="C30" s="32">
        <v>4</v>
      </c>
      <c r="D30" s="32">
        <v>2</v>
      </c>
      <c r="E30" s="32">
        <v>4</v>
      </c>
      <c r="F30" s="33">
        <v>3</v>
      </c>
      <c r="G30" s="34"/>
      <c r="H30" s="34"/>
      <c r="I30" s="31"/>
      <c r="J30" s="32">
        <v>12</v>
      </c>
      <c r="K30" s="32">
        <v>4</v>
      </c>
      <c r="L30" s="32">
        <v>9</v>
      </c>
      <c r="M30" s="32">
        <v>2</v>
      </c>
      <c r="N30" s="32">
        <v>1</v>
      </c>
      <c r="O30" s="32">
        <v>15</v>
      </c>
      <c r="P30" s="32">
        <v>7</v>
      </c>
      <c r="Q30" s="32">
        <v>8</v>
      </c>
      <c r="R30" s="32">
        <v>14</v>
      </c>
      <c r="S30" s="32">
        <v>3</v>
      </c>
      <c r="T30" s="32">
        <v>10</v>
      </c>
      <c r="U30" s="32">
        <v>13</v>
      </c>
      <c r="V30" s="32">
        <v>6</v>
      </c>
      <c r="W30" s="32">
        <v>5</v>
      </c>
      <c r="X30" s="33">
        <v>11</v>
      </c>
      <c r="Y30" s="2"/>
      <c r="Z30" s="13">
        <v>9</v>
      </c>
      <c r="AA30" s="2">
        <f t="shared" si="1"/>
        <v>4</v>
      </c>
      <c r="AB30" s="13">
        <f t="shared" si="5"/>
        <v>3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50">
        <v>1</v>
      </c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</row>
    <row r="31" spans="1:126" ht="15.75" thickBot="1" x14ac:dyDescent="0.3">
      <c r="A31" s="30" t="s">
        <v>86</v>
      </c>
      <c r="B31" s="31" t="s">
        <v>87</v>
      </c>
      <c r="C31" s="32">
        <v>1</v>
      </c>
      <c r="D31" s="32">
        <v>4</v>
      </c>
      <c r="E31" s="32">
        <v>3</v>
      </c>
      <c r="F31" s="33">
        <v>3</v>
      </c>
      <c r="G31" s="34"/>
      <c r="H31" s="34"/>
      <c r="I31" s="31"/>
      <c r="J31" s="32">
        <v>7</v>
      </c>
      <c r="K31" s="32">
        <v>3</v>
      </c>
      <c r="L31" s="32">
        <v>5</v>
      </c>
      <c r="M31" s="32">
        <v>4</v>
      </c>
      <c r="N31" s="32">
        <v>11</v>
      </c>
      <c r="O31" s="32">
        <v>15</v>
      </c>
      <c r="P31" s="32">
        <v>6</v>
      </c>
      <c r="Q31" s="34"/>
      <c r="R31" s="34"/>
      <c r="S31" s="34"/>
      <c r="T31" s="34"/>
      <c r="U31" s="34"/>
      <c r="V31" s="34"/>
      <c r="W31" s="34"/>
      <c r="X31" s="31"/>
      <c r="Y31" s="2"/>
      <c r="Z31" s="13">
        <v>5</v>
      </c>
      <c r="AA31" s="2">
        <f t="shared" si="1"/>
        <v>5.6568542494923806</v>
      </c>
      <c r="AB31" s="13">
        <f t="shared" si="5"/>
        <v>3</v>
      </c>
      <c r="AC31" s="2"/>
      <c r="AD31" s="2"/>
      <c r="AE31" s="2"/>
      <c r="AF31" s="2"/>
      <c r="AG31" s="2"/>
      <c r="AH31"/>
      <c r="AI31"/>
      <c r="AJ31"/>
      <c r="AK31"/>
      <c r="AL31"/>
      <c r="AM31" s="2"/>
      <c r="AN31" s="2"/>
      <c r="AO31" s="2"/>
      <c r="AP31" s="2"/>
      <c r="AQ31" s="2"/>
      <c r="AR31" s="2"/>
      <c r="AS31" s="2"/>
      <c r="AT31" s="2"/>
      <c r="AU31" s="50">
        <v>2</v>
      </c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</row>
    <row r="32" spans="1:126" ht="15.75" thickBot="1" x14ac:dyDescent="0.3">
      <c r="A32" s="30" t="s">
        <v>101</v>
      </c>
      <c r="B32" s="31" t="s">
        <v>102</v>
      </c>
      <c r="C32" s="32">
        <v>5</v>
      </c>
      <c r="D32" s="32">
        <v>4</v>
      </c>
      <c r="E32" s="32">
        <v>4</v>
      </c>
      <c r="F32" s="33">
        <v>3</v>
      </c>
      <c r="G32" s="34"/>
      <c r="H32" s="34"/>
      <c r="I32" s="31"/>
      <c r="J32" s="32">
        <v>13</v>
      </c>
      <c r="K32" s="32">
        <v>7</v>
      </c>
      <c r="L32" s="32">
        <v>10</v>
      </c>
      <c r="M32" s="32">
        <v>3</v>
      </c>
      <c r="N32" s="32">
        <v>5</v>
      </c>
      <c r="O32" s="32">
        <v>6</v>
      </c>
      <c r="P32" s="32">
        <v>8</v>
      </c>
      <c r="Q32" s="32">
        <v>15</v>
      </c>
      <c r="R32" s="32">
        <v>2</v>
      </c>
      <c r="S32" s="32">
        <v>4</v>
      </c>
      <c r="T32" s="32">
        <v>8</v>
      </c>
      <c r="U32" s="32">
        <v>9</v>
      </c>
      <c r="V32" s="32">
        <v>12</v>
      </c>
      <c r="W32" s="32">
        <v>1</v>
      </c>
      <c r="X32" s="33">
        <v>11</v>
      </c>
      <c r="Z32" s="52">
        <v>5</v>
      </c>
      <c r="AA32" s="2">
        <f t="shared" si="1"/>
        <v>16</v>
      </c>
      <c r="AB32" s="13">
        <f t="shared" si="5"/>
        <v>5</v>
      </c>
      <c r="AU32" s="50">
        <v>1</v>
      </c>
      <c r="AV32" s="2"/>
      <c r="AW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</row>
    <row r="33" spans="1:126" ht="15.75" thickBot="1" x14ac:dyDescent="0.3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AU33" s="54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</row>
    <row r="34" spans="1:126" ht="15.75" thickBot="1" x14ac:dyDescent="0.3">
      <c r="A34" s="30"/>
      <c r="B34" s="31"/>
      <c r="C34" s="34"/>
      <c r="D34" s="34"/>
      <c r="E34" s="34"/>
      <c r="F34" s="31"/>
      <c r="G34" s="34"/>
      <c r="H34" s="34"/>
      <c r="I34" s="31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1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</row>
    <row r="35" spans="1:126" x14ac:dyDescent="0.25">
      <c r="A35" s="53"/>
      <c r="B35" s="53"/>
      <c r="C35" s="54"/>
      <c r="D35" s="54"/>
      <c r="E35" s="54"/>
      <c r="F35" s="54"/>
      <c r="G35" s="53"/>
      <c r="H35" s="53"/>
      <c r="I35" s="53"/>
      <c r="J35" s="54"/>
      <c r="K35" s="54"/>
      <c r="L35" s="54"/>
      <c r="M35" s="54"/>
      <c r="N35" s="54"/>
      <c r="O35" s="54"/>
      <c r="P35" s="54"/>
      <c r="Q35" s="53"/>
      <c r="R35" s="53"/>
      <c r="S35" s="53"/>
      <c r="T35" s="53"/>
      <c r="U35" s="53"/>
      <c r="V35" s="53"/>
      <c r="W35" s="53"/>
      <c r="X35" s="53"/>
      <c r="AB35" s="52">
        <f>SUMPRODUCT(AB3:AB32,AU3:AU32)/SUM(AU3:AU32)</f>
        <v>2.8857142857142857</v>
      </c>
      <c r="AU35" s="54"/>
    </row>
    <row r="36" spans="1:126" x14ac:dyDescent="0.25">
      <c r="A36" s="53"/>
      <c r="B36" s="53"/>
      <c r="C36" s="54"/>
      <c r="D36" s="54"/>
      <c r="E36" s="54"/>
      <c r="F36" s="54"/>
      <c r="G36" s="53"/>
      <c r="H36" s="53"/>
      <c r="I36" s="53"/>
      <c r="J36" s="54"/>
      <c r="K36" s="54"/>
      <c r="L36" s="54"/>
      <c r="M36" s="54"/>
      <c r="N36" s="54"/>
      <c r="O36" s="54"/>
      <c r="P36" s="54"/>
      <c r="Q36" s="53"/>
      <c r="R36" s="53"/>
      <c r="S36" s="53"/>
      <c r="T36" s="53"/>
      <c r="U36" s="53"/>
      <c r="V36" s="53"/>
      <c r="W36" s="53"/>
      <c r="X36" s="53"/>
      <c r="AS36" s="13"/>
      <c r="AU36" s="54"/>
    </row>
    <row r="37" spans="1:126" x14ac:dyDescent="0.25">
      <c r="AS37" s="13"/>
    </row>
    <row r="38" spans="1:126" x14ac:dyDescent="0.25">
      <c r="AS38" s="13"/>
    </row>
    <row r="39" spans="1:126" x14ac:dyDescent="0.25">
      <c r="AG39" s="13"/>
      <c r="AS39" s="13"/>
    </row>
    <row r="40" spans="1:126" x14ac:dyDescent="0.25">
      <c r="AG40" s="13"/>
      <c r="AS40" s="13"/>
    </row>
    <row r="41" spans="1:126" x14ac:dyDescent="0.25">
      <c r="AG41" s="13"/>
      <c r="AS41" s="13"/>
    </row>
    <row r="42" spans="1:126" x14ac:dyDescent="0.25">
      <c r="AG42" s="13"/>
      <c r="AS42" s="13"/>
    </row>
    <row r="43" spans="1:126" x14ac:dyDescent="0.25">
      <c r="AG43" s="13"/>
      <c r="AS43" s="13"/>
    </row>
    <row r="44" spans="1:126" x14ac:dyDescent="0.25">
      <c r="AG44" s="13"/>
      <c r="AS44" s="13"/>
    </row>
    <row r="45" spans="1:126" x14ac:dyDescent="0.25">
      <c r="AG45" s="13"/>
      <c r="AS45" s="13"/>
    </row>
    <row r="46" spans="1:126" x14ac:dyDescent="0.25">
      <c r="AG46" s="13"/>
      <c r="AS46" s="13"/>
    </row>
    <row r="47" spans="1:126" x14ac:dyDescent="0.25">
      <c r="AG47" s="13"/>
      <c r="AS47" s="13"/>
    </row>
    <row r="48" spans="1:126" x14ac:dyDescent="0.25">
      <c r="AG48" s="13"/>
      <c r="AS48" s="13"/>
    </row>
    <row r="49" spans="33:45" x14ac:dyDescent="0.25">
      <c r="AG49" s="13"/>
      <c r="AS49" s="13"/>
    </row>
    <row r="50" spans="33:45" x14ac:dyDescent="0.25">
      <c r="AG50" s="13"/>
      <c r="AS50" s="13"/>
    </row>
    <row r="51" spans="33:45" x14ac:dyDescent="0.25">
      <c r="AG51" s="13"/>
      <c r="AS51" s="13"/>
    </row>
    <row r="52" spans="33:45" x14ac:dyDescent="0.25">
      <c r="AG52" s="13"/>
      <c r="AS52" s="13"/>
    </row>
    <row r="53" spans="33:45" x14ac:dyDescent="0.25">
      <c r="AG53" s="13"/>
      <c r="AS53" s="13"/>
    </row>
    <row r="54" spans="33:45" x14ac:dyDescent="0.25">
      <c r="AG54" s="13"/>
      <c r="AS54" s="13"/>
    </row>
    <row r="55" spans="33:45" x14ac:dyDescent="0.25">
      <c r="AG55" s="13"/>
      <c r="AS55" s="13"/>
    </row>
    <row r="56" spans="33:45" x14ac:dyDescent="0.25">
      <c r="AG56" s="13"/>
      <c r="AS56" s="13"/>
    </row>
    <row r="57" spans="33:45" x14ac:dyDescent="0.25">
      <c r="AG57" s="13"/>
      <c r="AS57" s="13"/>
    </row>
    <row r="58" spans="33:45" x14ac:dyDescent="0.25">
      <c r="AG58" s="13"/>
      <c r="AS58" s="13"/>
    </row>
    <row r="59" spans="33:45" x14ac:dyDescent="0.25">
      <c r="AG59" s="13"/>
      <c r="AS59" s="13"/>
    </row>
    <row r="60" spans="33:45" x14ac:dyDescent="0.25">
      <c r="AG60" s="13"/>
      <c r="AS60" s="13"/>
    </row>
    <row r="61" spans="33:45" x14ac:dyDescent="0.25">
      <c r="AG61" s="13"/>
      <c r="AS61" s="13"/>
    </row>
    <row r="62" spans="33:45" x14ac:dyDescent="0.25">
      <c r="AG62" s="13"/>
      <c r="AS62" s="13"/>
    </row>
    <row r="63" spans="33:45" x14ac:dyDescent="0.25">
      <c r="AG63" s="13"/>
      <c r="AS63" s="13"/>
    </row>
    <row r="64" spans="33:45" x14ac:dyDescent="0.25">
      <c r="AG64" s="13"/>
      <c r="AS64" s="13"/>
    </row>
    <row r="65" spans="1:33" x14ac:dyDescent="0.25">
      <c r="AG65" s="13"/>
    </row>
    <row r="66" spans="1:33" x14ac:dyDescent="0.25">
      <c r="AG66" s="13"/>
    </row>
    <row r="67" spans="1:33" x14ac:dyDescent="0.25">
      <c r="AG67" s="13"/>
    </row>
    <row r="80" spans="1:33" x14ac:dyDescent="0.25">
      <c r="A80" s="52" t="str">
        <f>IF(A3=A45,"","ICI")</f>
        <v>ICI</v>
      </c>
      <c r="B80" s="52" t="str">
        <f t="shared" ref="B80:X80" si="6">IF(B3=B45,"","ICI")</f>
        <v>ICI</v>
      </c>
      <c r="C80" s="52" t="str">
        <f t="shared" si="6"/>
        <v>ICI</v>
      </c>
      <c r="D80" s="52" t="str">
        <f t="shared" si="6"/>
        <v>ICI</v>
      </c>
      <c r="E80" s="52" t="str">
        <f t="shared" si="6"/>
        <v>ICI</v>
      </c>
      <c r="F80" s="52" t="str">
        <f t="shared" si="6"/>
        <v>ICI</v>
      </c>
      <c r="G80" s="52" t="str">
        <f t="shared" si="6"/>
        <v/>
      </c>
      <c r="H80" s="52" t="str">
        <f t="shared" si="6"/>
        <v/>
      </c>
      <c r="I80" s="52" t="str">
        <f t="shared" si="6"/>
        <v/>
      </c>
      <c r="J80" s="52" t="str">
        <f t="shared" si="6"/>
        <v>ICI</v>
      </c>
      <c r="K80" s="52" t="str">
        <f t="shared" si="6"/>
        <v>ICI</v>
      </c>
      <c r="L80" s="52" t="str">
        <f t="shared" si="6"/>
        <v>ICI</v>
      </c>
      <c r="M80" s="52" t="str">
        <f t="shared" si="6"/>
        <v>ICI</v>
      </c>
      <c r="N80" s="52" t="str">
        <f t="shared" si="6"/>
        <v>ICI</v>
      </c>
      <c r="O80" s="52" t="str">
        <f t="shared" si="6"/>
        <v>ICI</v>
      </c>
      <c r="P80" s="52" t="str">
        <f t="shared" si="6"/>
        <v>ICI</v>
      </c>
      <c r="Q80" s="52" t="str">
        <f t="shared" si="6"/>
        <v>ICI</v>
      </c>
      <c r="R80" s="52" t="str">
        <f t="shared" si="6"/>
        <v>ICI</v>
      </c>
      <c r="S80" s="52" t="str">
        <f t="shared" si="6"/>
        <v>ICI</v>
      </c>
      <c r="T80" s="52" t="str">
        <f t="shared" si="6"/>
        <v>ICI</v>
      </c>
      <c r="U80" s="52" t="str">
        <f t="shared" si="6"/>
        <v>ICI</v>
      </c>
      <c r="V80" s="52" t="str">
        <f t="shared" si="6"/>
        <v>ICI</v>
      </c>
      <c r="W80" s="52" t="str">
        <f t="shared" si="6"/>
        <v>ICI</v>
      </c>
      <c r="X80" s="52" t="str">
        <f t="shared" si="6"/>
        <v>ICI</v>
      </c>
    </row>
    <row r="81" spans="1:24" x14ac:dyDescent="0.25">
      <c r="A81" s="52" t="str">
        <f t="shared" ref="A81:X81" si="7">IF(A4=A46,"","ICI")</f>
        <v>ICI</v>
      </c>
      <c r="B81" s="52" t="str">
        <f t="shared" si="7"/>
        <v>ICI</v>
      </c>
      <c r="C81" s="52" t="str">
        <f t="shared" si="7"/>
        <v>ICI</v>
      </c>
      <c r="D81" s="52" t="str">
        <f t="shared" si="7"/>
        <v>ICI</v>
      </c>
      <c r="E81" s="52" t="str">
        <f t="shared" si="7"/>
        <v>ICI</v>
      </c>
      <c r="F81" s="52" t="str">
        <f t="shared" si="7"/>
        <v>ICI</v>
      </c>
      <c r="G81" s="52" t="str">
        <f t="shared" si="7"/>
        <v/>
      </c>
      <c r="H81" s="52" t="str">
        <f t="shared" si="7"/>
        <v/>
      </c>
      <c r="I81" s="52" t="str">
        <f t="shared" si="7"/>
        <v/>
      </c>
      <c r="J81" s="52" t="str">
        <f t="shared" si="7"/>
        <v>ICI</v>
      </c>
      <c r="K81" s="52" t="str">
        <f t="shared" si="7"/>
        <v>ICI</v>
      </c>
      <c r="L81" s="52" t="str">
        <f t="shared" si="7"/>
        <v>ICI</v>
      </c>
      <c r="M81" s="52" t="str">
        <f t="shared" si="7"/>
        <v>ICI</v>
      </c>
      <c r="N81" s="52" t="str">
        <f t="shared" si="7"/>
        <v>ICI</v>
      </c>
      <c r="O81" s="52" t="str">
        <f t="shared" si="7"/>
        <v>ICI</v>
      </c>
      <c r="P81" s="52" t="str">
        <f t="shared" si="7"/>
        <v>ICI</v>
      </c>
      <c r="Q81" s="52" t="str">
        <f t="shared" si="7"/>
        <v>ICI</v>
      </c>
      <c r="R81" s="52" t="str">
        <f t="shared" si="7"/>
        <v>ICI</v>
      </c>
      <c r="S81" s="52" t="str">
        <f t="shared" si="7"/>
        <v>ICI</v>
      </c>
      <c r="T81" s="52" t="str">
        <f t="shared" si="7"/>
        <v>ICI</v>
      </c>
      <c r="U81" s="52" t="str">
        <f t="shared" si="7"/>
        <v>ICI</v>
      </c>
      <c r="V81" s="52" t="str">
        <f t="shared" si="7"/>
        <v>ICI</v>
      </c>
      <c r="W81" s="52" t="str">
        <f t="shared" si="7"/>
        <v>ICI</v>
      </c>
      <c r="X81" s="52" t="str">
        <f t="shared" si="7"/>
        <v>ICI</v>
      </c>
    </row>
    <row r="82" spans="1:24" x14ac:dyDescent="0.25">
      <c r="A82" s="52" t="str">
        <f t="shared" ref="A82:X82" si="8">IF(A5=A47,"","ICI")</f>
        <v>ICI</v>
      </c>
      <c r="B82" s="52" t="str">
        <f t="shared" si="8"/>
        <v>ICI</v>
      </c>
      <c r="C82" s="52" t="str">
        <f t="shared" si="8"/>
        <v>ICI</v>
      </c>
      <c r="D82" s="52" t="str">
        <f t="shared" si="8"/>
        <v>ICI</v>
      </c>
      <c r="E82" s="52" t="str">
        <f t="shared" si="8"/>
        <v>ICI</v>
      </c>
      <c r="F82" s="52" t="str">
        <f t="shared" si="8"/>
        <v>ICI</v>
      </c>
      <c r="G82" s="52" t="str">
        <f t="shared" si="8"/>
        <v/>
      </c>
      <c r="H82" s="52" t="str">
        <f t="shared" si="8"/>
        <v/>
      </c>
      <c r="I82" s="52" t="str">
        <f t="shared" si="8"/>
        <v/>
      </c>
      <c r="J82" s="52" t="str">
        <f t="shared" si="8"/>
        <v>ICI</v>
      </c>
      <c r="K82" s="52" t="str">
        <f t="shared" si="8"/>
        <v>ICI</v>
      </c>
      <c r="L82" s="52" t="str">
        <f t="shared" si="8"/>
        <v>ICI</v>
      </c>
      <c r="M82" s="52" t="str">
        <f t="shared" si="8"/>
        <v>ICI</v>
      </c>
      <c r="N82" s="52" t="str">
        <f t="shared" si="8"/>
        <v>ICI</v>
      </c>
      <c r="O82" s="52" t="str">
        <f t="shared" si="8"/>
        <v>ICI</v>
      </c>
      <c r="P82" s="52" t="str">
        <f t="shared" si="8"/>
        <v>ICI</v>
      </c>
      <c r="Q82" s="52" t="str">
        <f t="shared" si="8"/>
        <v>ICI</v>
      </c>
      <c r="R82" s="52" t="str">
        <f t="shared" si="8"/>
        <v>ICI</v>
      </c>
      <c r="S82" s="52" t="str">
        <f t="shared" si="8"/>
        <v>ICI</v>
      </c>
      <c r="T82" s="52" t="str">
        <f t="shared" si="8"/>
        <v>ICI</v>
      </c>
      <c r="U82" s="52" t="str">
        <f t="shared" si="8"/>
        <v>ICI</v>
      </c>
      <c r="V82" s="52" t="str">
        <f t="shared" si="8"/>
        <v>ICI</v>
      </c>
      <c r="W82" s="52" t="str">
        <f t="shared" si="8"/>
        <v>ICI</v>
      </c>
      <c r="X82" s="52" t="str">
        <f t="shared" si="8"/>
        <v>ICI</v>
      </c>
    </row>
    <row r="83" spans="1:24" x14ac:dyDescent="0.25">
      <c r="A83" s="52" t="str">
        <f t="shared" ref="A83:X83" si="9">IF(A6=A48,"","ICI")</f>
        <v>ICI</v>
      </c>
      <c r="B83" s="52" t="str">
        <f t="shared" si="9"/>
        <v>ICI</v>
      </c>
      <c r="C83" s="52" t="str">
        <f t="shared" si="9"/>
        <v>ICI</v>
      </c>
      <c r="D83" s="52" t="str">
        <f t="shared" si="9"/>
        <v>ICI</v>
      </c>
      <c r="E83" s="52" t="str">
        <f t="shared" si="9"/>
        <v>ICI</v>
      </c>
      <c r="F83" s="52" t="str">
        <f t="shared" si="9"/>
        <v>ICI</v>
      </c>
      <c r="G83" s="52" t="str">
        <f t="shared" si="9"/>
        <v/>
      </c>
      <c r="H83" s="52" t="str">
        <f t="shared" si="9"/>
        <v/>
      </c>
      <c r="I83" s="52" t="str">
        <f t="shared" si="9"/>
        <v/>
      </c>
      <c r="J83" s="52" t="str">
        <f t="shared" si="9"/>
        <v>ICI</v>
      </c>
      <c r="K83" s="52" t="str">
        <f t="shared" si="9"/>
        <v>ICI</v>
      </c>
      <c r="L83" s="52" t="str">
        <f t="shared" si="9"/>
        <v>ICI</v>
      </c>
      <c r="M83" s="52" t="str">
        <f t="shared" si="9"/>
        <v>ICI</v>
      </c>
      <c r="N83" s="52" t="str">
        <f t="shared" si="9"/>
        <v>ICI</v>
      </c>
      <c r="O83" s="52" t="str">
        <f t="shared" si="9"/>
        <v>ICI</v>
      </c>
      <c r="P83" s="52" t="str">
        <f t="shared" si="9"/>
        <v>ICI</v>
      </c>
      <c r="Q83" s="52" t="str">
        <f t="shared" si="9"/>
        <v>ICI</v>
      </c>
      <c r="R83" s="52" t="str">
        <f t="shared" si="9"/>
        <v>ICI</v>
      </c>
      <c r="S83" s="52" t="str">
        <f t="shared" si="9"/>
        <v>ICI</v>
      </c>
      <c r="T83" s="52" t="str">
        <f t="shared" si="9"/>
        <v>ICI</v>
      </c>
      <c r="U83" s="52" t="str">
        <f t="shared" si="9"/>
        <v>ICI</v>
      </c>
      <c r="V83" s="52" t="str">
        <f t="shared" si="9"/>
        <v>ICI</v>
      </c>
      <c r="W83" s="52" t="str">
        <f t="shared" si="9"/>
        <v>ICI</v>
      </c>
      <c r="X83" s="52" t="str">
        <f t="shared" si="9"/>
        <v>ICI</v>
      </c>
    </row>
    <row r="84" spans="1:24" x14ac:dyDescent="0.25">
      <c r="A84" s="52" t="str">
        <f t="shared" ref="A84:X84" si="10">IF(A7=A49,"","ICI")</f>
        <v>ICI</v>
      </c>
      <c r="B84" s="52" t="str">
        <f t="shared" si="10"/>
        <v>ICI</v>
      </c>
      <c r="C84" s="52" t="str">
        <f t="shared" si="10"/>
        <v>ICI</v>
      </c>
      <c r="D84" s="52" t="str">
        <f t="shared" si="10"/>
        <v>ICI</v>
      </c>
      <c r="E84" s="52" t="str">
        <f t="shared" si="10"/>
        <v>ICI</v>
      </c>
      <c r="F84" s="52" t="str">
        <f t="shared" si="10"/>
        <v>ICI</v>
      </c>
      <c r="G84" s="52" t="str">
        <f t="shared" si="10"/>
        <v/>
      </c>
      <c r="H84" s="52" t="str">
        <f t="shared" si="10"/>
        <v/>
      </c>
      <c r="I84" s="52" t="str">
        <f t="shared" si="10"/>
        <v/>
      </c>
      <c r="J84" s="52" t="str">
        <f t="shared" si="10"/>
        <v>ICI</v>
      </c>
      <c r="K84" s="52" t="str">
        <f t="shared" si="10"/>
        <v>ICI</v>
      </c>
      <c r="L84" s="52" t="str">
        <f t="shared" si="10"/>
        <v>ICI</v>
      </c>
      <c r="M84" s="52" t="str">
        <f t="shared" si="10"/>
        <v>ICI</v>
      </c>
      <c r="N84" s="52" t="str">
        <f t="shared" si="10"/>
        <v>ICI</v>
      </c>
      <c r="O84" s="52" t="str">
        <f t="shared" si="10"/>
        <v>ICI</v>
      </c>
      <c r="P84" s="52" t="str">
        <f t="shared" si="10"/>
        <v>ICI</v>
      </c>
      <c r="Q84" s="52" t="str">
        <f t="shared" si="10"/>
        <v>ICI</v>
      </c>
      <c r="R84" s="52" t="str">
        <f t="shared" si="10"/>
        <v>ICI</v>
      </c>
      <c r="S84" s="52" t="str">
        <f t="shared" si="10"/>
        <v>ICI</v>
      </c>
      <c r="T84" s="52" t="str">
        <f t="shared" si="10"/>
        <v>ICI</v>
      </c>
      <c r="U84" s="52" t="str">
        <f t="shared" si="10"/>
        <v>ICI</v>
      </c>
      <c r="V84" s="52" t="str">
        <f t="shared" si="10"/>
        <v>ICI</v>
      </c>
      <c r="W84" s="52" t="str">
        <f t="shared" si="10"/>
        <v>ICI</v>
      </c>
      <c r="X84" s="52" t="str">
        <f t="shared" si="10"/>
        <v>ICI</v>
      </c>
    </row>
    <row r="85" spans="1:24" x14ac:dyDescent="0.25">
      <c r="A85" s="52" t="str">
        <f t="shared" ref="A85:X85" si="11">IF(A8=A50,"","ICI")</f>
        <v>ICI</v>
      </c>
      <c r="B85" s="52" t="str">
        <f t="shared" si="11"/>
        <v>ICI</v>
      </c>
      <c r="C85" s="52" t="str">
        <f t="shared" si="11"/>
        <v>ICI</v>
      </c>
      <c r="D85" s="52" t="str">
        <f t="shared" si="11"/>
        <v>ICI</v>
      </c>
      <c r="E85" s="52" t="str">
        <f t="shared" si="11"/>
        <v>ICI</v>
      </c>
      <c r="F85" s="52" t="str">
        <f t="shared" si="11"/>
        <v>ICI</v>
      </c>
      <c r="G85" s="52" t="str">
        <f t="shared" si="11"/>
        <v>ICI</v>
      </c>
      <c r="H85" s="52" t="str">
        <f t="shared" si="11"/>
        <v/>
      </c>
      <c r="I85" s="52" t="str">
        <f t="shared" si="11"/>
        <v/>
      </c>
      <c r="J85" s="52" t="str">
        <f t="shared" si="11"/>
        <v>ICI</v>
      </c>
      <c r="K85" s="52" t="str">
        <f t="shared" si="11"/>
        <v>ICI</v>
      </c>
      <c r="L85" s="52" t="str">
        <f t="shared" si="11"/>
        <v>ICI</v>
      </c>
      <c r="M85" s="52" t="str">
        <f t="shared" si="11"/>
        <v>ICI</v>
      </c>
      <c r="N85" s="52" t="str">
        <f t="shared" si="11"/>
        <v>ICI</v>
      </c>
      <c r="O85" s="52" t="str">
        <f t="shared" si="11"/>
        <v>ICI</v>
      </c>
      <c r="P85" s="52" t="str">
        <f t="shared" si="11"/>
        <v>ICI</v>
      </c>
      <c r="Q85" s="52" t="str">
        <f t="shared" si="11"/>
        <v>ICI</v>
      </c>
      <c r="R85" s="52" t="str">
        <f t="shared" si="11"/>
        <v>ICI</v>
      </c>
      <c r="S85" s="52" t="str">
        <f t="shared" si="11"/>
        <v>ICI</v>
      </c>
      <c r="T85" s="52" t="str">
        <f t="shared" si="11"/>
        <v>ICI</v>
      </c>
      <c r="U85" s="52" t="str">
        <f t="shared" si="11"/>
        <v>ICI</v>
      </c>
      <c r="V85" s="52" t="str">
        <f t="shared" si="11"/>
        <v>ICI</v>
      </c>
      <c r="W85" s="52" t="str">
        <f t="shared" si="11"/>
        <v>ICI</v>
      </c>
      <c r="X85" s="52" t="str">
        <f t="shared" si="11"/>
        <v>ICI</v>
      </c>
    </row>
    <row r="86" spans="1:24" x14ac:dyDescent="0.25">
      <c r="A86" s="52" t="str">
        <f t="shared" ref="A86:X86" si="12">IF(A9=A51,"","ICI")</f>
        <v>ICI</v>
      </c>
      <c r="B86" s="52" t="str">
        <f t="shared" si="12"/>
        <v>ICI</v>
      </c>
      <c r="C86" s="52" t="str">
        <f t="shared" si="12"/>
        <v>ICI</v>
      </c>
      <c r="D86" s="52" t="str">
        <f t="shared" si="12"/>
        <v>ICI</v>
      </c>
      <c r="E86" s="52" t="str">
        <f t="shared" si="12"/>
        <v>ICI</v>
      </c>
      <c r="F86" s="52" t="str">
        <f t="shared" si="12"/>
        <v>ICI</v>
      </c>
      <c r="G86" s="52" t="str">
        <f t="shared" si="12"/>
        <v>ICI</v>
      </c>
      <c r="H86" s="52" t="str">
        <f t="shared" si="12"/>
        <v/>
      </c>
      <c r="I86" s="52" t="str">
        <f t="shared" si="12"/>
        <v/>
      </c>
      <c r="J86" s="52" t="str">
        <f t="shared" si="12"/>
        <v>ICI</v>
      </c>
      <c r="K86" s="52" t="str">
        <f t="shared" si="12"/>
        <v>ICI</v>
      </c>
      <c r="L86" s="52" t="str">
        <f t="shared" si="12"/>
        <v>ICI</v>
      </c>
      <c r="M86" s="52" t="str">
        <f t="shared" si="12"/>
        <v>ICI</v>
      </c>
      <c r="N86" s="52" t="str">
        <f t="shared" si="12"/>
        <v/>
      </c>
      <c r="O86" s="52" t="str">
        <f t="shared" si="12"/>
        <v/>
      </c>
      <c r="P86" s="52" t="str">
        <f t="shared" si="12"/>
        <v/>
      </c>
      <c r="Q86" s="52" t="str">
        <f t="shared" si="12"/>
        <v/>
      </c>
      <c r="R86" s="52" t="str">
        <f t="shared" si="12"/>
        <v/>
      </c>
      <c r="S86" s="52" t="str">
        <f t="shared" si="12"/>
        <v/>
      </c>
      <c r="T86" s="52" t="str">
        <f t="shared" si="12"/>
        <v/>
      </c>
      <c r="U86" s="52" t="str">
        <f t="shared" si="12"/>
        <v/>
      </c>
      <c r="V86" s="52" t="str">
        <f t="shared" si="12"/>
        <v/>
      </c>
      <c r="W86" s="52" t="str">
        <f t="shared" si="12"/>
        <v>ICI</v>
      </c>
      <c r="X86" s="52" t="str">
        <f t="shared" si="12"/>
        <v>ICI</v>
      </c>
    </row>
    <row r="87" spans="1:24" x14ac:dyDescent="0.25">
      <c r="A87" s="52" t="str">
        <f t="shared" ref="A87:X87" si="13">IF(A10=A52,"","ICI")</f>
        <v>ICI</v>
      </c>
      <c r="B87" s="52" t="str">
        <f t="shared" si="13"/>
        <v>ICI</v>
      </c>
      <c r="C87" s="52" t="str">
        <f t="shared" si="13"/>
        <v>ICI</v>
      </c>
      <c r="D87" s="52" t="str">
        <f t="shared" si="13"/>
        <v>ICI</v>
      </c>
      <c r="E87" s="52" t="str">
        <f t="shared" si="13"/>
        <v>ICI</v>
      </c>
      <c r="F87" s="52" t="str">
        <f t="shared" si="13"/>
        <v>ICI</v>
      </c>
      <c r="G87" s="52" t="str">
        <f t="shared" si="13"/>
        <v/>
      </c>
      <c r="H87" s="52" t="str">
        <f t="shared" si="13"/>
        <v/>
      </c>
      <c r="I87" s="52" t="str">
        <f t="shared" si="13"/>
        <v/>
      </c>
      <c r="J87" s="52" t="str">
        <f t="shared" si="13"/>
        <v>ICI</v>
      </c>
      <c r="K87" s="52" t="str">
        <f t="shared" si="13"/>
        <v>ICI</v>
      </c>
      <c r="L87" s="52" t="str">
        <f t="shared" si="13"/>
        <v>ICI</v>
      </c>
      <c r="M87" s="52" t="str">
        <f t="shared" si="13"/>
        <v>ICI</v>
      </c>
      <c r="N87" s="52" t="str">
        <f t="shared" si="13"/>
        <v>ICI</v>
      </c>
      <c r="O87" s="52" t="str">
        <f t="shared" si="13"/>
        <v>ICI</v>
      </c>
      <c r="P87" s="52" t="str">
        <f t="shared" si="13"/>
        <v>ICI</v>
      </c>
      <c r="Q87" s="52" t="str">
        <f t="shared" si="13"/>
        <v>ICI</v>
      </c>
      <c r="R87" s="52" t="str">
        <f t="shared" si="13"/>
        <v>ICI</v>
      </c>
      <c r="S87" s="52" t="str">
        <f t="shared" si="13"/>
        <v>ICI</v>
      </c>
      <c r="T87" s="52" t="str">
        <f t="shared" si="13"/>
        <v>ICI</v>
      </c>
      <c r="U87" s="52" t="str">
        <f t="shared" si="13"/>
        <v>ICI</v>
      </c>
      <c r="V87" s="52" t="str">
        <f t="shared" si="13"/>
        <v>ICI</v>
      </c>
      <c r="W87" s="52" t="str">
        <f t="shared" si="13"/>
        <v>ICI</v>
      </c>
      <c r="X87" s="52" t="str">
        <f t="shared" si="13"/>
        <v>ICI</v>
      </c>
    </row>
    <row r="88" spans="1:24" x14ac:dyDescent="0.25">
      <c r="A88" s="52" t="e">
        <f>IF(#REF!=A53,"","ICI")</f>
        <v>#REF!</v>
      </c>
      <c r="B88" s="52" t="e">
        <f>IF(#REF!=B53,"","ICI")</f>
        <v>#REF!</v>
      </c>
      <c r="C88" s="52" t="e">
        <f>IF(#REF!=C53,"","ICI")</f>
        <v>#REF!</v>
      </c>
      <c r="D88" s="52" t="e">
        <f>IF(#REF!=D53,"","ICI")</f>
        <v>#REF!</v>
      </c>
      <c r="E88" s="52" t="e">
        <f>IF(#REF!=E53,"","ICI")</f>
        <v>#REF!</v>
      </c>
      <c r="F88" s="52" t="e">
        <f>IF(#REF!=F53,"","ICI")</f>
        <v>#REF!</v>
      </c>
      <c r="G88" s="52" t="e">
        <f>IF(#REF!=G53,"","ICI")</f>
        <v>#REF!</v>
      </c>
      <c r="H88" s="52" t="e">
        <f>IF(#REF!=H53,"","ICI")</f>
        <v>#REF!</v>
      </c>
      <c r="I88" s="52" t="e">
        <f>IF(#REF!=I53,"","ICI")</f>
        <v>#REF!</v>
      </c>
      <c r="J88" s="52" t="e">
        <f>IF(#REF!=J53,"","ICI")</f>
        <v>#REF!</v>
      </c>
      <c r="K88" s="52" t="e">
        <f>IF(#REF!=K53,"","ICI")</f>
        <v>#REF!</v>
      </c>
      <c r="L88" s="52" t="e">
        <f>IF(#REF!=L53,"","ICI")</f>
        <v>#REF!</v>
      </c>
      <c r="M88" s="52" t="e">
        <f>IF(#REF!=M53,"","ICI")</f>
        <v>#REF!</v>
      </c>
      <c r="N88" s="52" t="e">
        <f>IF(#REF!=N53,"","ICI")</f>
        <v>#REF!</v>
      </c>
      <c r="O88" s="52" t="e">
        <f>IF(#REF!=O53,"","ICI")</f>
        <v>#REF!</v>
      </c>
      <c r="P88" s="52" t="e">
        <f>IF(#REF!=P53,"","ICI")</f>
        <v>#REF!</v>
      </c>
      <c r="Q88" s="52" t="e">
        <f>IF(#REF!=Q53,"","ICI")</f>
        <v>#REF!</v>
      </c>
      <c r="R88" s="52" t="e">
        <f>IF(#REF!=R53,"","ICI")</f>
        <v>#REF!</v>
      </c>
      <c r="S88" s="52" t="e">
        <f>IF(#REF!=S53,"","ICI")</f>
        <v>#REF!</v>
      </c>
      <c r="T88" s="52" t="e">
        <f>IF(#REF!=T53,"","ICI")</f>
        <v>#REF!</v>
      </c>
      <c r="U88" s="52" t="e">
        <f>IF(#REF!=U53,"","ICI")</f>
        <v>#REF!</v>
      </c>
      <c r="V88" s="52" t="e">
        <f>IF(#REF!=V53,"","ICI")</f>
        <v>#REF!</v>
      </c>
      <c r="W88" s="52" t="e">
        <f>IF(#REF!=W53,"","ICI")</f>
        <v>#REF!</v>
      </c>
      <c r="X88" s="52" t="e">
        <f>IF(#REF!=X53,"","ICI")</f>
        <v>#REF!</v>
      </c>
    </row>
    <row r="89" spans="1:24" x14ac:dyDescent="0.25">
      <c r="A89" s="52" t="e">
        <f>IF(#REF!=A54,"","ICI")</f>
        <v>#REF!</v>
      </c>
      <c r="B89" s="52" t="e">
        <f>IF(#REF!=B54,"","ICI")</f>
        <v>#REF!</v>
      </c>
      <c r="C89" s="52" t="e">
        <f>IF(#REF!=C54,"","ICI")</f>
        <v>#REF!</v>
      </c>
      <c r="D89" s="52" t="e">
        <f>IF(#REF!=D54,"","ICI")</f>
        <v>#REF!</v>
      </c>
      <c r="E89" s="52" t="e">
        <f>IF(#REF!=E54,"","ICI")</f>
        <v>#REF!</v>
      </c>
      <c r="F89" s="52" t="e">
        <f>IF(#REF!=F54,"","ICI")</f>
        <v>#REF!</v>
      </c>
      <c r="G89" s="52" t="e">
        <f>IF(#REF!=G54,"","ICI")</f>
        <v>#REF!</v>
      </c>
      <c r="H89" s="52" t="e">
        <f>IF(#REF!=H54,"","ICI")</f>
        <v>#REF!</v>
      </c>
      <c r="I89" s="52" t="e">
        <f>IF(#REF!=I54,"","ICI")</f>
        <v>#REF!</v>
      </c>
      <c r="J89" s="52" t="e">
        <f>IF(#REF!=J54,"","ICI")</f>
        <v>#REF!</v>
      </c>
      <c r="K89" s="52" t="e">
        <f>IF(#REF!=K54,"","ICI")</f>
        <v>#REF!</v>
      </c>
      <c r="L89" s="52" t="e">
        <f>IF(#REF!=L54,"","ICI")</f>
        <v>#REF!</v>
      </c>
      <c r="M89" s="52" t="e">
        <f>IF(#REF!=M54,"","ICI")</f>
        <v>#REF!</v>
      </c>
      <c r="N89" s="52" t="e">
        <f>IF(#REF!=N54,"","ICI")</f>
        <v>#REF!</v>
      </c>
      <c r="O89" s="52" t="e">
        <f>IF(#REF!=O54,"","ICI")</f>
        <v>#REF!</v>
      </c>
      <c r="P89" s="52" t="e">
        <f>IF(#REF!=P54,"","ICI")</f>
        <v>#REF!</v>
      </c>
      <c r="Q89" s="52" t="e">
        <f>IF(#REF!=Q54,"","ICI")</f>
        <v>#REF!</v>
      </c>
      <c r="R89" s="52" t="e">
        <f>IF(#REF!=R54,"","ICI")</f>
        <v>#REF!</v>
      </c>
      <c r="S89" s="52" t="e">
        <f>IF(#REF!=S54,"","ICI")</f>
        <v>#REF!</v>
      </c>
      <c r="T89" s="52" t="e">
        <f>IF(#REF!=T54,"","ICI")</f>
        <v>#REF!</v>
      </c>
      <c r="U89" s="52" t="e">
        <f>IF(#REF!=U54,"","ICI")</f>
        <v>#REF!</v>
      </c>
      <c r="V89" s="52" t="e">
        <f>IF(#REF!=V54,"","ICI")</f>
        <v>#REF!</v>
      </c>
      <c r="W89" s="52" t="e">
        <f>IF(#REF!=W54,"","ICI")</f>
        <v>#REF!</v>
      </c>
      <c r="X89" s="52" t="e">
        <f>IF(#REF!=X54,"","ICI")</f>
        <v>#REF!</v>
      </c>
    </row>
    <row r="90" spans="1:24" x14ac:dyDescent="0.25">
      <c r="A90" s="52" t="str">
        <f t="shared" ref="A90:X90" si="14">IF(A11=A55,"","ICI")</f>
        <v>ICI</v>
      </c>
      <c r="B90" s="52" t="str">
        <f t="shared" si="14"/>
        <v>ICI</v>
      </c>
      <c r="C90" s="52" t="str">
        <f t="shared" si="14"/>
        <v>ICI</v>
      </c>
      <c r="D90" s="52" t="str">
        <f t="shared" si="14"/>
        <v>ICI</v>
      </c>
      <c r="E90" s="52" t="str">
        <f t="shared" si="14"/>
        <v>ICI</v>
      </c>
      <c r="F90" s="52" t="str">
        <f t="shared" si="14"/>
        <v>ICI</v>
      </c>
      <c r="G90" s="52" t="str">
        <f t="shared" si="14"/>
        <v/>
      </c>
      <c r="H90" s="52" t="str">
        <f t="shared" si="14"/>
        <v/>
      </c>
      <c r="I90" s="52" t="str">
        <f t="shared" si="14"/>
        <v/>
      </c>
      <c r="J90" s="52" t="str">
        <f t="shared" si="14"/>
        <v/>
      </c>
      <c r="K90" s="52" t="str">
        <f t="shared" si="14"/>
        <v>ICI</v>
      </c>
      <c r="L90" s="52" t="str">
        <f t="shared" si="14"/>
        <v/>
      </c>
      <c r="M90" s="52" t="str">
        <f t="shared" si="14"/>
        <v/>
      </c>
      <c r="N90" s="52" t="str">
        <f t="shared" si="14"/>
        <v/>
      </c>
      <c r="O90" s="52" t="str">
        <f t="shared" si="14"/>
        <v/>
      </c>
      <c r="P90" s="52" t="str">
        <f t="shared" si="14"/>
        <v/>
      </c>
      <c r="Q90" s="52" t="str">
        <f t="shared" si="14"/>
        <v/>
      </c>
      <c r="R90" s="52" t="str">
        <f t="shared" si="14"/>
        <v/>
      </c>
      <c r="S90" s="52" t="str">
        <f t="shared" si="14"/>
        <v/>
      </c>
      <c r="T90" s="52" t="str">
        <f t="shared" si="14"/>
        <v/>
      </c>
      <c r="U90" s="52" t="str">
        <f t="shared" si="14"/>
        <v/>
      </c>
      <c r="V90" s="52" t="str">
        <f t="shared" si="14"/>
        <v/>
      </c>
      <c r="W90" s="52" t="str">
        <f t="shared" si="14"/>
        <v/>
      </c>
      <c r="X90" s="52" t="str">
        <f t="shared" si="14"/>
        <v/>
      </c>
    </row>
    <row r="91" spans="1:24" x14ac:dyDescent="0.25">
      <c r="A91" s="52" t="str">
        <f t="shared" ref="A91:X91" si="15">IF(A12=A56,"","ICI")</f>
        <v>ICI</v>
      </c>
      <c r="B91" s="52" t="str">
        <f t="shared" si="15"/>
        <v>ICI</v>
      </c>
      <c r="C91" s="52" t="str">
        <f t="shared" si="15"/>
        <v>ICI</v>
      </c>
      <c r="D91" s="52" t="str">
        <f t="shared" si="15"/>
        <v>ICI</v>
      </c>
      <c r="E91" s="52" t="str">
        <f t="shared" si="15"/>
        <v>ICI</v>
      </c>
      <c r="F91" s="52" t="str">
        <f t="shared" si="15"/>
        <v>ICI</v>
      </c>
      <c r="G91" s="52" t="str">
        <f t="shared" si="15"/>
        <v/>
      </c>
      <c r="H91" s="52" t="str">
        <f t="shared" si="15"/>
        <v/>
      </c>
      <c r="I91" s="52" t="str">
        <f t="shared" si="15"/>
        <v/>
      </c>
      <c r="J91" s="52" t="str">
        <f t="shared" si="15"/>
        <v>ICI</v>
      </c>
      <c r="K91" s="52" t="str">
        <f t="shared" si="15"/>
        <v>ICI</v>
      </c>
      <c r="L91" s="52" t="str">
        <f t="shared" si="15"/>
        <v>ICI</v>
      </c>
      <c r="M91" s="52" t="str">
        <f t="shared" si="15"/>
        <v>ICI</v>
      </c>
      <c r="N91" s="52" t="str">
        <f t="shared" si="15"/>
        <v>ICI</v>
      </c>
      <c r="O91" s="52" t="str">
        <f t="shared" si="15"/>
        <v>ICI</v>
      </c>
      <c r="P91" s="52" t="str">
        <f t="shared" si="15"/>
        <v>ICI</v>
      </c>
      <c r="Q91" s="52" t="str">
        <f t="shared" si="15"/>
        <v>ICI</v>
      </c>
      <c r="R91" s="52" t="str">
        <f t="shared" si="15"/>
        <v>ICI</v>
      </c>
      <c r="S91" s="52" t="str">
        <f t="shared" si="15"/>
        <v>ICI</v>
      </c>
      <c r="T91" s="52" t="str">
        <f t="shared" si="15"/>
        <v>ICI</v>
      </c>
      <c r="U91" s="52" t="str">
        <f t="shared" si="15"/>
        <v>ICI</v>
      </c>
      <c r="V91" s="52" t="str">
        <f t="shared" si="15"/>
        <v>ICI</v>
      </c>
      <c r="W91" s="52" t="str">
        <f t="shared" si="15"/>
        <v>ICI</v>
      </c>
      <c r="X91" s="52" t="str">
        <f t="shared" si="15"/>
        <v>ICI</v>
      </c>
    </row>
    <row r="92" spans="1:24" x14ac:dyDescent="0.25">
      <c r="A92" s="52" t="str">
        <f t="shared" ref="A92:X92" si="16">IF(A13=A57,"","ICI")</f>
        <v>ICI</v>
      </c>
      <c r="B92" s="52" t="str">
        <f t="shared" si="16"/>
        <v>ICI</v>
      </c>
      <c r="C92" s="52" t="str">
        <f t="shared" si="16"/>
        <v>ICI</v>
      </c>
      <c r="D92" s="52" t="str">
        <f t="shared" si="16"/>
        <v>ICI</v>
      </c>
      <c r="E92" s="52" t="str">
        <f t="shared" si="16"/>
        <v>ICI</v>
      </c>
      <c r="F92" s="52" t="str">
        <f t="shared" si="16"/>
        <v>ICI</v>
      </c>
      <c r="G92" s="52" t="str">
        <f t="shared" si="16"/>
        <v/>
      </c>
      <c r="H92" s="52" t="str">
        <f t="shared" si="16"/>
        <v/>
      </c>
      <c r="I92" s="52" t="str">
        <f t="shared" si="16"/>
        <v/>
      </c>
      <c r="J92" s="52" t="str">
        <f t="shared" si="16"/>
        <v>ICI</v>
      </c>
      <c r="K92" s="52" t="str">
        <f t="shared" si="16"/>
        <v>ICI</v>
      </c>
      <c r="L92" s="52" t="str">
        <f t="shared" si="16"/>
        <v>ICI</v>
      </c>
      <c r="M92" s="52" t="str">
        <f t="shared" si="16"/>
        <v>ICI</v>
      </c>
      <c r="N92" s="52" t="str">
        <f t="shared" si="16"/>
        <v>ICI</v>
      </c>
      <c r="O92" s="52" t="str">
        <f t="shared" si="16"/>
        <v>ICI</v>
      </c>
      <c r="P92" s="52" t="str">
        <f t="shared" si="16"/>
        <v>ICI</v>
      </c>
      <c r="Q92" s="52" t="str">
        <f t="shared" si="16"/>
        <v>ICI</v>
      </c>
      <c r="R92" s="52" t="str">
        <f t="shared" si="16"/>
        <v>ICI</v>
      </c>
      <c r="S92" s="52" t="str">
        <f t="shared" si="16"/>
        <v>ICI</v>
      </c>
      <c r="T92" s="52" t="str">
        <f t="shared" si="16"/>
        <v>ICI</v>
      </c>
      <c r="U92" s="52" t="str">
        <f t="shared" si="16"/>
        <v>ICI</v>
      </c>
      <c r="V92" s="52" t="str">
        <f t="shared" si="16"/>
        <v>ICI</v>
      </c>
      <c r="W92" s="52" t="str">
        <f t="shared" si="16"/>
        <v>ICI</v>
      </c>
      <c r="X92" s="52" t="str">
        <f t="shared" si="16"/>
        <v>ICI</v>
      </c>
    </row>
    <row r="93" spans="1:24" x14ac:dyDescent="0.25">
      <c r="A93" s="52" t="str">
        <f t="shared" ref="A93:X93" si="17">IF(A14=A58,"","ICI")</f>
        <v>ICI</v>
      </c>
      <c r="B93" s="52" t="str">
        <f t="shared" si="17"/>
        <v>ICI</v>
      </c>
      <c r="C93" s="52" t="str">
        <f t="shared" si="17"/>
        <v>ICI</v>
      </c>
      <c r="D93" s="52" t="str">
        <f t="shared" si="17"/>
        <v>ICI</v>
      </c>
      <c r="E93" s="52" t="str">
        <f t="shared" si="17"/>
        <v>ICI</v>
      </c>
      <c r="F93" s="52" t="str">
        <f t="shared" si="17"/>
        <v>ICI</v>
      </c>
      <c r="G93" s="52" t="str">
        <f t="shared" si="17"/>
        <v/>
      </c>
      <c r="H93" s="52" t="str">
        <f t="shared" si="17"/>
        <v/>
      </c>
      <c r="I93" s="52" t="str">
        <f t="shared" si="17"/>
        <v/>
      </c>
      <c r="J93" s="52" t="str">
        <f t="shared" si="17"/>
        <v>ICI</v>
      </c>
      <c r="K93" s="52" t="str">
        <f t="shared" si="17"/>
        <v>ICI</v>
      </c>
      <c r="L93" s="52" t="str">
        <f t="shared" si="17"/>
        <v>ICI</v>
      </c>
      <c r="M93" s="52" t="str">
        <f t="shared" si="17"/>
        <v>ICI</v>
      </c>
      <c r="N93" s="52" t="str">
        <f t="shared" si="17"/>
        <v>ICI</v>
      </c>
      <c r="O93" s="52" t="str">
        <f t="shared" si="17"/>
        <v>ICI</v>
      </c>
      <c r="P93" s="52" t="str">
        <f t="shared" si="17"/>
        <v>ICI</v>
      </c>
      <c r="Q93" s="52" t="str">
        <f t="shared" si="17"/>
        <v>ICI</v>
      </c>
      <c r="R93" s="52" t="str">
        <f t="shared" si="17"/>
        <v>ICI</v>
      </c>
      <c r="S93" s="52" t="str">
        <f t="shared" si="17"/>
        <v>ICI</v>
      </c>
      <c r="T93" s="52" t="str">
        <f t="shared" si="17"/>
        <v>ICI</v>
      </c>
      <c r="U93" s="52" t="str">
        <f t="shared" si="17"/>
        <v>ICI</v>
      </c>
      <c r="V93" s="52" t="str">
        <f t="shared" si="17"/>
        <v>ICI</v>
      </c>
      <c r="W93" s="52" t="str">
        <f t="shared" si="17"/>
        <v>ICI</v>
      </c>
      <c r="X93" s="52" t="str">
        <f t="shared" si="17"/>
        <v>ICI</v>
      </c>
    </row>
    <row r="94" spans="1:24" x14ac:dyDescent="0.25">
      <c r="A94" s="52" t="str">
        <f t="shared" ref="A94:X94" si="18">IF(A15=A59,"","ICI")</f>
        <v>ICI</v>
      </c>
      <c r="B94" s="52" t="str">
        <f t="shared" si="18"/>
        <v>ICI</v>
      </c>
      <c r="C94" s="52" t="str">
        <f t="shared" si="18"/>
        <v>ICI</v>
      </c>
      <c r="D94" s="52" t="str">
        <f t="shared" si="18"/>
        <v>ICI</v>
      </c>
      <c r="E94" s="52" t="str">
        <f t="shared" si="18"/>
        <v>ICI</v>
      </c>
      <c r="F94" s="52" t="str">
        <f t="shared" si="18"/>
        <v>ICI</v>
      </c>
      <c r="G94" s="52" t="str">
        <f t="shared" si="18"/>
        <v/>
      </c>
      <c r="H94" s="52" t="str">
        <f t="shared" si="18"/>
        <v/>
      </c>
      <c r="I94" s="52" t="str">
        <f t="shared" si="18"/>
        <v/>
      </c>
      <c r="J94" s="52" t="str">
        <f t="shared" si="18"/>
        <v>ICI</v>
      </c>
      <c r="K94" s="52" t="str">
        <f t="shared" si="18"/>
        <v>ICI</v>
      </c>
      <c r="L94" s="52" t="str">
        <f t="shared" si="18"/>
        <v>ICI</v>
      </c>
      <c r="M94" s="52" t="str">
        <f t="shared" si="18"/>
        <v>ICI</v>
      </c>
      <c r="N94" s="52" t="str">
        <f t="shared" si="18"/>
        <v>ICI</v>
      </c>
      <c r="O94" s="52" t="str">
        <f t="shared" si="18"/>
        <v>ICI</v>
      </c>
      <c r="P94" s="52" t="str">
        <f t="shared" si="18"/>
        <v>ICI</v>
      </c>
      <c r="Q94" s="52" t="str">
        <f t="shared" si="18"/>
        <v>ICI</v>
      </c>
      <c r="R94" s="52" t="str">
        <f t="shared" si="18"/>
        <v>ICI</v>
      </c>
      <c r="S94" s="52" t="str">
        <f t="shared" si="18"/>
        <v>ICI</v>
      </c>
      <c r="T94" s="52" t="str">
        <f t="shared" si="18"/>
        <v>ICI</v>
      </c>
      <c r="U94" s="52" t="str">
        <f t="shared" si="18"/>
        <v>ICI</v>
      </c>
      <c r="V94" s="52" t="str">
        <f t="shared" si="18"/>
        <v>ICI</v>
      </c>
      <c r="W94" s="52" t="str">
        <f t="shared" si="18"/>
        <v>ICI</v>
      </c>
      <c r="X94" s="52" t="str">
        <f t="shared" si="18"/>
        <v>ICI</v>
      </c>
    </row>
    <row r="95" spans="1:24" x14ac:dyDescent="0.25">
      <c r="A95" s="52" t="str">
        <f t="shared" ref="A95:X95" si="19">IF(A16=A60,"","ICI")</f>
        <v>ICI</v>
      </c>
      <c r="B95" s="52" t="str">
        <f t="shared" si="19"/>
        <v>ICI</v>
      </c>
      <c r="C95" s="52" t="str">
        <f t="shared" si="19"/>
        <v>ICI</v>
      </c>
      <c r="D95" s="52" t="str">
        <f t="shared" si="19"/>
        <v>ICI</v>
      </c>
      <c r="E95" s="52" t="str">
        <f t="shared" si="19"/>
        <v>ICI</v>
      </c>
      <c r="F95" s="52" t="str">
        <f t="shared" si="19"/>
        <v>ICI</v>
      </c>
      <c r="G95" s="52" t="str">
        <f t="shared" si="19"/>
        <v/>
      </c>
      <c r="H95" s="52" t="str">
        <f t="shared" si="19"/>
        <v/>
      </c>
      <c r="I95" s="52" t="str">
        <f t="shared" si="19"/>
        <v/>
      </c>
      <c r="J95" s="52" t="str">
        <f t="shared" si="19"/>
        <v>ICI</v>
      </c>
      <c r="K95" s="52" t="str">
        <f t="shared" si="19"/>
        <v>ICI</v>
      </c>
      <c r="L95" s="52" t="str">
        <f t="shared" si="19"/>
        <v>ICI</v>
      </c>
      <c r="M95" s="52" t="str">
        <f t="shared" si="19"/>
        <v>ICI</v>
      </c>
      <c r="N95" s="52" t="str">
        <f t="shared" si="19"/>
        <v>ICI</v>
      </c>
      <c r="O95" s="52" t="str">
        <f t="shared" si="19"/>
        <v>ICI</v>
      </c>
      <c r="P95" s="52" t="str">
        <f t="shared" si="19"/>
        <v>ICI</v>
      </c>
      <c r="Q95" s="52" t="str">
        <f t="shared" si="19"/>
        <v>ICI</v>
      </c>
      <c r="R95" s="52" t="str">
        <f t="shared" si="19"/>
        <v>ICI</v>
      </c>
      <c r="S95" s="52" t="str">
        <f t="shared" si="19"/>
        <v>ICI</v>
      </c>
      <c r="T95" s="52" t="str">
        <f t="shared" si="19"/>
        <v>ICI</v>
      </c>
      <c r="U95" s="52" t="str">
        <f t="shared" si="19"/>
        <v>ICI</v>
      </c>
      <c r="V95" s="52" t="str">
        <f t="shared" si="19"/>
        <v>ICI</v>
      </c>
      <c r="W95" s="52" t="str">
        <f t="shared" si="19"/>
        <v>ICI</v>
      </c>
      <c r="X95" s="52" t="str">
        <f t="shared" si="19"/>
        <v>ICI</v>
      </c>
    </row>
    <row r="96" spans="1:24" x14ac:dyDescent="0.25">
      <c r="A96" s="52" t="str">
        <f t="shared" ref="A96:X96" si="20">IF(A17=A61,"","ICI")</f>
        <v>ICI</v>
      </c>
      <c r="B96" s="52" t="str">
        <f t="shared" si="20"/>
        <v>ICI</v>
      </c>
      <c r="C96" s="52" t="str">
        <f t="shared" si="20"/>
        <v>ICI</v>
      </c>
      <c r="D96" s="52" t="str">
        <f t="shared" si="20"/>
        <v>ICI</v>
      </c>
      <c r="E96" s="52" t="str">
        <f t="shared" si="20"/>
        <v>ICI</v>
      </c>
      <c r="F96" s="52" t="str">
        <f t="shared" si="20"/>
        <v>ICI</v>
      </c>
      <c r="G96" s="52" t="str">
        <f t="shared" si="20"/>
        <v/>
      </c>
      <c r="H96" s="52" t="str">
        <f t="shared" si="20"/>
        <v/>
      </c>
      <c r="I96" s="52" t="str">
        <f t="shared" si="20"/>
        <v/>
      </c>
      <c r="J96" s="52" t="str">
        <f t="shared" si="20"/>
        <v>ICI</v>
      </c>
      <c r="K96" s="52" t="str">
        <f t="shared" si="20"/>
        <v>ICI</v>
      </c>
      <c r="L96" s="52" t="str">
        <f t="shared" si="20"/>
        <v>ICI</v>
      </c>
      <c r="M96" s="52" t="str">
        <f t="shared" si="20"/>
        <v>ICI</v>
      </c>
      <c r="N96" s="52" t="str">
        <f t="shared" si="20"/>
        <v>ICI</v>
      </c>
      <c r="O96" s="52" t="str">
        <f t="shared" si="20"/>
        <v>ICI</v>
      </c>
      <c r="P96" s="52" t="str">
        <f t="shared" si="20"/>
        <v>ICI</v>
      </c>
      <c r="Q96" s="52" t="str">
        <f t="shared" si="20"/>
        <v>ICI</v>
      </c>
      <c r="R96" s="52" t="str">
        <f t="shared" si="20"/>
        <v>ICI</v>
      </c>
      <c r="S96" s="52" t="str">
        <f t="shared" si="20"/>
        <v>ICI</v>
      </c>
      <c r="T96" s="52" t="str">
        <f t="shared" si="20"/>
        <v>ICI</v>
      </c>
      <c r="U96" s="52" t="str">
        <f t="shared" si="20"/>
        <v>ICI</v>
      </c>
      <c r="V96" s="52" t="str">
        <f t="shared" si="20"/>
        <v>ICI</v>
      </c>
      <c r="W96" s="52" t="str">
        <f t="shared" si="20"/>
        <v>ICI</v>
      </c>
      <c r="X96" s="52" t="str">
        <f t="shared" si="20"/>
        <v>ICI</v>
      </c>
    </row>
    <row r="97" spans="1:24" x14ac:dyDescent="0.25">
      <c r="A97" s="52" t="e">
        <f>IF(#REF!=A62,"","ICI")</f>
        <v>#REF!</v>
      </c>
      <c r="B97" s="52" t="e">
        <f>IF(#REF!=B62,"","ICI")</f>
        <v>#REF!</v>
      </c>
      <c r="C97" s="52" t="e">
        <f>IF(#REF!=C62,"","ICI")</f>
        <v>#REF!</v>
      </c>
      <c r="D97" s="52" t="e">
        <f>IF(#REF!=D62,"","ICI")</f>
        <v>#REF!</v>
      </c>
      <c r="E97" s="52" t="e">
        <f>IF(#REF!=E62,"","ICI")</f>
        <v>#REF!</v>
      </c>
      <c r="F97" s="52" t="e">
        <f>IF(#REF!=F62,"","ICI")</f>
        <v>#REF!</v>
      </c>
      <c r="G97" s="52" t="e">
        <f>IF(#REF!=G62,"","ICI")</f>
        <v>#REF!</v>
      </c>
      <c r="H97" s="52" t="e">
        <f>IF(#REF!=H62,"","ICI")</f>
        <v>#REF!</v>
      </c>
      <c r="I97" s="52" t="e">
        <f>IF(#REF!=I62,"","ICI")</f>
        <v>#REF!</v>
      </c>
      <c r="J97" s="52" t="e">
        <f>IF(#REF!=J62,"","ICI")</f>
        <v>#REF!</v>
      </c>
      <c r="K97" s="52" t="e">
        <f>IF(#REF!=K62,"","ICI")</f>
        <v>#REF!</v>
      </c>
      <c r="L97" s="52" t="e">
        <f>IF(#REF!=L62,"","ICI")</f>
        <v>#REF!</v>
      </c>
      <c r="M97" s="52" t="e">
        <f>IF(#REF!=M62,"","ICI")</f>
        <v>#REF!</v>
      </c>
      <c r="N97" s="52" t="e">
        <f>IF(#REF!=N62,"","ICI")</f>
        <v>#REF!</v>
      </c>
      <c r="O97" s="52" t="e">
        <f>IF(#REF!=O62,"","ICI")</f>
        <v>#REF!</v>
      </c>
      <c r="P97" s="52" t="e">
        <f>IF(#REF!=P62,"","ICI")</f>
        <v>#REF!</v>
      </c>
      <c r="Q97" s="52" t="e">
        <f>IF(#REF!=Q62,"","ICI")</f>
        <v>#REF!</v>
      </c>
      <c r="R97" s="52" t="e">
        <f>IF(#REF!=R62,"","ICI")</f>
        <v>#REF!</v>
      </c>
      <c r="S97" s="52" t="e">
        <f>IF(#REF!=S62,"","ICI")</f>
        <v>#REF!</v>
      </c>
      <c r="T97" s="52" t="e">
        <f>IF(#REF!=T62,"","ICI")</f>
        <v>#REF!</v>
      </c>
      <c r="U97" s="52" t="e">
        <f>IF(#REF!=U62,"","ICI")</f>
        <v>#REF!</v>
      </c>
      <c r="V97" s="52" t="e">
        <f>IF(#REF!=V62,"","ICI")</f>
        <v>#REF!</v>
      </c>
      <c r="W97" s="52" t="e">
        <f>IF(#REF!=W62,"","ICI")</f>
        <v>#REF!</v>
      </c>
      <c r="X97" s="52" t="e">
        <f>IF(#REF!=X62,"","ICI")</f>
        <v>#REF!</v>
      </c>
    </row>
    <row r="98" spans="1:24" x14ac:dyDescent="0.25">
      <c r="A98" s="52" t="str">
        <f t="shared" ref="A98:X98" si="21">IF(A18=A63,"","ICI")</f>
        <v>ICI</v>
      </c>
      <c r="B98" s="52" t="str">
        <f t="shared" si="21"/>
        <v>ICI</v>
      </c>
      <c r="C98" s="52" t="str">
        <f t="shared" si="21"/>
        <v>ICI</v>
      </c>
      <c r="D98" s="52" t="str">
        <f t="shared" si="21"/>
        <v>ICI</v>
      </c>
      <c r="E98" s="52" t="str">
        <f t="shared" si="21"/>
        <v>ICI</v>
      </c>
      <c r="F98" s="52" t="str">
        <f t="shared" si="21"/>
        <v>ICI</v>
      </c>
      <c r="G98" s="52" t="str">
        <f t="shared" si="21"/>
        <v/>
      </c>
      <c r="H98" s="52" t="str">
        <f t="shared" si="21"/>
        <v/>
      </c>
      <c r="I98" s="52" t="str">
        <f t="shared" si="21"/>
        <v/>
      </c>
      <c r="J98" s="52" t="str">
        <f t="shared" si="21"/>
        <v>ICI</v>
      </c>
      <c r="K98" s="52" t="str">
        <f t="shared" si="21"/>
        <v>ICI</v>
      </c>
      <c r="L98" s="52" t="str">
        <f t="shared" si="21"/>
        <v>ICI</v>
      </c>
      <c r="M98" s="52" t="str">
        <f t="shared" si="21"/>
        <v>ICI</v>
      </c>
      <c r="N98" s="52" t="str">
        <f t="shared" si="21"/>
        <v>ICI</v>
      </c>
      <c r="O98" s="52" t="str">
        <f t="shared" si="21"/>
        <v>ICI</v>
      </c>
      <c r="P98" s="52" t="str">
        <f t="shared" si="21"/>
        <v>ICI</v>
      </c>
      <c r="Q98" s="52" t="str">
        <f t="shared" si="21"/>
        <v>ICI</v>
      </c>
      <c r="R98" s="52" t="str">
        <f t="shared" si="21"/>
        <v>ICI</v>
      </c>
      <c r="S98" s="52" t="str">
        <f t="shared" si="21"/>
        <v>ICI</v>
      </c>
      <c r="T98" s="52" t="str">
        <f t="shared" si="21"/>
        <v>ICI</v>
      </c>
      <c r="U98" s="52" t="str">
        <f t="shared" si="21"/>
        <v>ICI</v>
      </c>
      <c r="V98" s="52" t="str">
        <f t="shared" si="21"/>
        <v>ICI</v>
      </c>
      <c r="W98" s="52" t="str">
        <f t="shared" si="21"/>
        <v>ICI</v>
      </c>
      <c r="X98" s="52" t="str">
        <f t="shared" si="21"/>
        <v>ICI</v>
      </c>
    </row>
    <row r="99" spans="1:24" x14ac:dyDescent="0.25">
      <c r="A99" s="52" t="str">
        <f t="shared" ref="A99:X99" si="22">IF(A19=A64,"","ICI")</f>
        <v>ICI</v>
      </c>
      <c r="B99" s="52" t="str">
        <f t="shared" si="22"/>
        <v>ICI</v>
      </c>
      <c r="C99" s="52" t="str">
        <f t="shared" si="22"/>
        <v>ICI</v>
      </c>
      <c r="D99" s="52" t="str">
        <f t="shared" si="22"/>
        <v>ICI</v>
      </c>
      <c r="E99" s="52" t="str">
        <f t="shared" si="22"/>
        <v>ICI</v>
      </c>
      <c r="F99" s="52" t="str">
        <f t="shared" si="22"/>
        <v>ICI</v>
      </c>
      <c r="G99" s="52" t="str">
        <f t="shared" si="22"/>
        <v/>
      </c>
      <c r="H99" s="52" t="str">
        <f t="shared" si="22"/>
        <v/>
      </c>
      <c r="I99" s="52" t="str">
        <f t="shared" si="22"/>
        <v/>
      </c>
      <c r="J99" s="52" t="str">
        <f t="shared" si="22"/>
        <v>ICI</v>
      </c>
      <c r="K99" s="52" t="str">
        <f t="shared" si="22"/>
        <v>ICI</v>
      </c>
      <c r="L99" s="52" t="str">
        <f t="shared" si="22"/>
        <v>ICI</v>
      </c>
      <c r="M99" s="52" t="str">
        <f t="shared" si="22"/>
        <v>ICI</v>
      </c>
      <c r="N99" s="52" t="str">
        <f t="shared" si="22"/>
        <v>ICI</v>
      </c>
      <c r="O99" s="52" t="str">
        <f t="shared" si="22"/>
        <v>ICI</v>
      </c>
      <c r="P99" s="52" t="str">
        <f t="shared" si="22"/>
        <v>ICI</v>
      </c>
      <c r="Q99" s="52" t="str">
        <f t="shared" si="22"/>
        <v>ICI</v>
      </c>
      <c r="R99" s="52" t="str">
        <f t="shared" si="22"/>
        <v>ICI</v>
      </c>
      <c r="S99" s="52" t="str">
        <f t="shared" si="22"/>
        <v>ICI</v>
      </c>
      <c r="T99" s="52" t="str">
        <f t="shared" si="22"/>
        <v>ICI</v>
      </c>
      <c r="U99" s="52" t="str">
        <f t="shared" si="22"/>
        <v>ICI</v>
      </c>
      <c r="V99" s="52" t="str">
        <f t="shared" si="22"/>
        <v>ICI</v>
      </c>
      <c r="W99" s="52" t="str">
        <f t="shared" si="22"/>
        <v>ICI</v>
      </c>
      <c r="X99" s="52" t="str">
        <f t="shared" si="22"/>
        <v>ICI</v>
      </c>
    </row>
    <row r="100" spans="1:24" x14ac:dyDescent="0.25">
      <c r="A100" s="52" t="str">
        <f t="shared" ref="A100:X100" si="23">IF(A20=A65,"","ICI")</f>
        <v>ICI</v>
      </c>
      <c r="B100" s="52" t="str">
        <f t="shared" si="23"/>
        <v>ICI</v>
      </c>
      <c r="C100" s="52" t="str">
        <f t="shared" si="23"/>
        <v>ICI</v>
      </c>
      <c r="D100" s="52" t="str">
        <f t="shared" si="23"/>
        <v>ICI</v>
      </c>
      <c r="E100" s="52" t="str">
        <f t="shared" si="23"/>
        <v>ICI</v>
      </c>
      <c r="F100" s="52" t="str">
        <f t="shared" si="23"/>
        <v>ICI</v>
      </c>
      <c r="G100" s="52" t="str">
        <f t="shared" si="23"/>
        <v>ICI</v>
      </c>
      <c r="H100" s="52" t="str">
        <f t="shared" si="23"/>
        <v>ICI</v>
      </c>
      <c r="I100" s="52" t="str">
        <f t="shared" si="23"/>
        <v/>
      </c>
      <c r="J100" s="52" t="str">
        <f t="shared" si="23"/>
        <v>ICI</v>
      </c>
      <c r="K100" s="52" t="str">
        <f t="shared" si="23"/>
        <v>ICI</v>
      </c>
      <c r="L100" s="52" t="str">
        <f t="shared" si="23"/>
        <v>ICI</v>
      </c>
      <c r="M100" s="52" t="str">
        <f t="shared" si="23"/>
        <v>ICI</v>
      </c>
      <c r="N100" s="52" t="str">
        <f t="shared" si="23"/>
        <v>ICI</v>
      </c>
      <c r="O100" s="52" t="str">
        <f t="shared" si="23"/>
        <v>ICI</v>
      </c>
      <c r="P100" s="52" t="str">
        <f t="shared" si="23"/>
        <v>ICI</v>
      </c>
      <c r="Q100" s="52" t="str">
        <f t="shared" si="23"/>
        <v>ICI</v>
      </c>
      <c r="R100" s="52" t="str">
        <f t="shared" si="23"/>
        <v>ICI</v>
      </c>
      <c r="S100" s="52" t="str">
        <f t="shared" si="23"/>
        <v>ICI</v>
      </c>
      <c r="T100" s="52" t="str">
        <f t="shared" si="23"/>
        <v>ICI</v>
      </c>
      <c r="U100" s="52" t="str">
        <f t="shared" si="23"/>
        <v>ICI</v>
      </c>
      <c r="V100" s="52" t="str">
        <f t="shared" si="23"/>
        <v>ICI</v>
      </c>
      <c r="W100" s="52" t="str">
        <f t="shared" si="23"/>
        <v>ICI</v>
      </c>
      <c r="X100" s="52" t="str">
        <f t="shared" si="23"/>
        <v>ICI</v>
      </c>
    </row>
    <row r="101" spans="1:24" x14ac:dyDescent="0.25">
      <c r="A101" s="52" t="str">
        <f t="shared" ref="A101:X101" si="24">IF(A21=A66,"","ICI")</f>
        <v>ICI</v>
      </c>
      <c r="B101" s="52" t="str">
        <f t="shared" si="24"/>
        <v>ICI</v>
      </c>
      <c r="C101" s="52" t="str">
        <f t="shared" si="24"/>
        <v>ICI</v>
      </c>
      <c r="D101" s="52" t="str">
        <f t="shared" si="24"/>
        <v>ICI</v>
      </c>
      <c r="E101" s="52" t="str">
        <f t="shared" si="24"/>
        <v>ICI</v>
      </c>
      <c r="F101" s="52" t="str">
        <f t="shared" si="24"/>
        <v>ICI</v>
      </c>
      <c r="G101" s="52" t="str">
        <f t="shared" si="24"/>
        <v/>
      </c>
      <c r="H101" s="52" t="str">
        <f t="shared" si="24"/>
        <v/>
      </c>
      <c r="I101" s="52" t="str">
        <f t="shared" si="24"/>
        <v/>
      </c>
      <c r="J101" s="52" t="str">
        <f t="shared" si="24"/>
        <v>ICI</v>
      </c>
      <c r="K101" s="52" t="str">
        <f t="shared" si="24"/>
        <v>ICI</v>
      </c>
      <c r="L101" s="52" t="str">
        <f t="shared" si="24"/>
        <v>ICI</v>
      </c>
      <c r="M101" s="52" t="str">
        <f t="shared" si="24"/>
        <v>ICI</v>
      </c>
      <c r="N101" s="52" t="str">
        <f t="shared" si="24"/>
        <v>ICI</v>
      </c>
      <c r="O101" s="52" t="str">
        <f t="shared" si="24"/>
        <v>ICI</v>
      </c>
      <c r="P101" s="52" t="str">
        <f t="shared" si="24"/>
        <v>ICI</v>
      </c>
      <c r="Q101" s="52" t="str">
        <f t="shared" si="24"/>
        <v>ICI</v>
      </c>
      <c r="R101" s="52" t="str">
        <f t="shared" si="24"/>
        <v>ICI</v>
      </c>
      <c r="S101" s="52" t="str">
        <f t="shared" si="24"/>
        <v>ICI</v>
      </c>
      <c r="T101" s="52" t="str">
        <f t="shared" si="24"/>
        <v>ICI</v>
      </c>
      <c r="U101" s="52" t="str">
        <f t="shared" si="24"/>
        <v>ICI</v>
      </c>
      <c r="V101" s="52" t="str">
        <f t="shared" si="24"/>
        <v>ICI</v>
      </c>
      <c r="W101" s="52" t="str">
        <f t="shared" si="24"/>
        <v>ICI</v>
      </c>
      <c r="X101" s="52" t="str">
        <f t="shared" si="24"/>
        <v>ICI</v>
      </c>
    </row>
    <row r="102" spans="1:24" x14ac:dyDescent="0.25">
      <c r="A102" s="52" t="str">
        <f t="shared" ref="A102:X102" si="25">IF(A22=A67,"","ICI")</f>
        <v>ICI</v>
      </c>
      <c r="B102" s="52" t="str">
        <f t="shared" si="25"/>
        <v>ICI</v>
      </c>
      <c r="C102" s="52" t="str">
        <f t="shared" si="25"/>
        <v>ICI</v>
      </c>
      <c r="D102" s="52" t="str">
        <f t="shared" si="25"/>
        <v>ICI</v>
      </c>
      <c r="E102" s="52" t="str">
        <f t="shared" si="25"/>
        <v>ICI</v>
      </c>
      <c r="F102" s="52" t="str">
        <f t="shared" si="25"/>
        <v>ICI</v>
      </c>
      <c r="G102" s="52" t="str">
        <f t="shared" si="25"/>
        <v>ICI</v>
      </c>
      <c r="H102" s="52" t="str">
        <f t="shared" si="25"/>
        <v>ICI</v>
      </c>
      <c r="I102" s="52" t="str">
        <f t="shared" si="25"/>
        <v>ICI</v>
      </c>
      <c r="J102" s="52" t="str">
        <f t="shared" si="25"/>
        <v>ICI</v>
      </c>
      <c r="K102" s="52" t="str">
        <f t="shared" si="25"/>
        <v>ICI</v>
      </c>
      <c r="L102" s="52" t="str">
        <f t="shared" si="25"/>
        <v>ICI</v>
      </c>
      <c r="M102" s="52" t="str">
        <f t="shared" si="25"/>
        <v>ICI</v>
      </c>
      <c r="N102" s="52" t="str">
        <f t="shared" si="25"/>
        <v>ICI</v>
      </c>
      <c r="O102" s="52" t="str">
        <f t="shared" si="25"/>
        <v>ICI</v>
      </c>
      <c r="P102" s="52" t="str">
        <f t="shared" si="25"/>
        <v>ICI</v>
      </c>
      <c r="Q102" s="52" t="str">
        <f t="shared" si="25"/>
        <v>ICI</v>
      </c>
      <c r="R102" s="52" t="str">
        <f t="shared" si="25"/>
        <v>ICI</v>
      </c>
      <c r="S102" s="52" t="str">
        <f t="shared" si="25"/>
        <v>ICI</v>
      </c>
      <c r="T102" s="52" t="str">
        <f t="shared" si="25"/>
        <v>ICI</v>
      </c>
      <c r="U102" s="52" t="str">
        <f t="shared" si="25"/>
        <v>ICI</v>
      </c>
      <c r="V102" s="52" t="str">
        <f t="shared" si="25"/>
        <v>ICI</v>
      </c>
      <c r="W102" s="52" t="str">
        <f t="shared" si="25"/>
        <v>ICI</v>
      </c>
      <c r="X102" s="52" t="str">
        <f t="shared" si="25"/>
        <v>ICI</v>
      </c>
    </row>
    <row r="103" spans="1:24" x14ac:dyDescent="0.25">
      <c r="A103" s="52" t="str">
        <f t="shared" ref="A103:X103" si="26">IF(A23=A68,"","ICI")</f>
        <v>ICI</v>
      </c>
      <c r="B103" s="52" t="str">
        <f t="shared" si="26"/>
        <v>ICI</v>
      </c>
      <c r="C103" s="52" t="str">
        <f t="shared" si="26"/>
        <v>ICI</v>
      </c>
      <c r="D103" s="52" t="str">
        <f t="shared" si="26"/>
        <v>ICI</v>
      </c>
      <c r="E103" s="52" t="str">
        <f t="shared" si="26"/>
        <v>ICI</v>
      </c>
      <c r="F103" s="52" t="str">
        <f t="shared" si="26"/>
        <v>ICI</v>
      </c>
      <c r="G103" s="52" t="str">
        <f t="shared" si="26"/>
        <v/>
      </c>
      <c r="H103" s="52" t="str">
        <f t="shared" si="26"/>
        <v/>
      </c>
      <c r="I103" s="52" t="str">
        <f t="shared" si="26"/>
        <v/>
      </c>
      <c r="J103" s="52" t="str">
        <f t="shared" si="26"/>
        <v>ICI</v>
      </c>
      <c r="K103" s="52" t="str">
        <f t="shared" si="26"/>
        <v>ICI</v>
      </c>
      <c r="L103" s="52" t="str">
        <f t="shared" si="26"/>
        <v>ICI</v>
      </c>
      <c r="M103" s="52" t="str">
        <f t="shared" si="26"/>
        <v>ICI</v>
      </c>
      <c r="N103" s="52" t="str">
        <f t="shared" si="26"/>
        <v>ICI</v>
      </c>
      <c r="O103" s="52" t="str">
        <f t="shared" si="26"/>
        <v>ICI</v>
      </c>
      <c r="P103" s="52" t="str">
        <f t="shared" si="26"/>
        <v>ICI</v>
      </c>
      <c r="Q103" s="52" t="str">
        <f t="shared" si="26"/>
        <v>ICI</v>
      </c>
      <c r="R103" s="52" t="str">
        <f t="shared" si="26"/>
        <v>ICI</v>
      </c>
      <c r="S103" s="52" t="str">
        <f t="shared" si="26"/>
        <v>ICI</v>
      </c>
      <c r="T103" s="52" t="str">
        <f t="shared" si="26"/>
        <v>ICI</v>
      </c>
      <c r="U103" s="52" t="str">
        <f t="shared" si="26"/>
        <v>ICI</v>
      </c>
      <c r="V103" s="52" t="str">
        <f t="shared" si="26"/>
        <v>ICI</v>
      </c>
      <c r="W103" s="52" t="str">
        <f t="shared" si="26"/>
        <v>ICI</v>
      </c>
      <c r="X103" s="52" t="str">
        <f t="shared" si="26"/>
        <v>ICI</v>
      </c>
    </row>
    <row r="104" spans="1:24" x14ac:dyDescent="0.25">
      <c r="A104" s="52" t="str">
        <f t="shared" ref="A104:X104" si="27">IF(A24=A69,"","ICI")</f>
        <v>ICI</v>
      </c>
      <c r="B104" s="52" t="str">
        <f t="shared" si="27"/>
        <v>ICI</v>
      </c>
      <c r="C104" s="52" t="str">
        <f t="shared" si="27"/>
        <v>ICI</v>
      </c>
      <c r="D104" s="52" t="str">
        <f t="shared" si="27"/>
        <v>ICI</v>
      </c>
      <c r="E104" s="52" t="str">
        <f t="shared" si="27"/>
        <v>ICI</v>
      </c>
      <c r="F104" s="52" t="str">
        <f t="shared" si="27"/>
        <v>ICI</v>
      </c>
      <c r="G104" s="52" t="str">
        <f t="shared" si="27"/>
        <v/>
      </c>
      <c r="H104" s="52" t="str">
        <f t="shared" si="27"/>
        <v/>
      </c>
      <c r="I104" s="52" t="str">
        <f t="shared" si="27"/>
        <v/>
      </c>
      <c r="J104" s="52" t="str">
        <f t="shared" si="27"/>
        <v>ICI</v>
      </c>
      <c r="K104" s="52" t="str">
        <f t="shared" si="27"/>
        <v>ICI</v>
      </c>
      <c r="L104" s="52" t="str">
        <f t="shared" si="27"/>
        <v>ICI</v>
      </c>
      <c r="M104" s="52" t="str">
        <f t="shared" si="27"/>
        <v>ICI</v>
      </c>
      <c r="N104" s="52" t="str">
        <f t="shared" si="27"/>
        <v>ICI</v>
      </c>
      <c r="O104" s="52" t="str">
        <f t="shared" si="27"/>
        <v>ICI</v>
      </c>
      <c r="P104" s="52" t="str">
        <f t="shared" si="27"/>
        <v>ICI</v>
      </c>
      <c r="Q104" s="52" t="str">
        <f t="shared" si="27"/>
        <v>ICI</v>
      </c>
      <c r="R104" s="52" t="str">
        <f t="shared" si="27"/>
        <v>ICI</v>
      </c>
      <c r="S104" s="52" t="str">
        <f t="shared" si="27"/>
        <v>ICI</v>
      </c>
      <c r="T104" s="52" t="str">
        <f t="shared" si="27"/>
        <v>ICI</v>
      </c>
      <c r="U104" s="52" t="str">
        <f t="shared" si="27"/>
        <v>ICI</v>
      </c>
      <c r="V104" s="52" t="str">
        <f t="shared" si="27"/>
        <v>ICI</v>
      </c>
      <c r="W104" s="52" t="str">
        <f t="shared" si="27"/>
        <v>ICI</v>
      </c>
      <c r="X104" s="52" t="str">
        <f t="shared" si="27"/>
        <v>ICI</v>
      </c>
    </row>
    <row r="105" spans="1:24" x14ac:dyDescent="0.25">
      <c r="A105" s="52" t="str">
        <f t="shared" ref="A105:X105" si="28">IF(A25=A70,"","ICI")</f>
        <v>ICI</v>
      </c>
      <c r="B105" s="52" t="str">
        <f t="shared" si="28"/>
        <v>ICI</v>
      </c>
      <c r="C105" s="52" t="str">
        <f t="shared" si="28"/>
        <v>ICI</v>
      </c>
      <c r="D105" s="52" t="str">
        <f t="shared" si="28"/>
        <v>ICI</v>
      </c>
      <c r="E105" s="52" t="str">
        <f t="shared" si="28"/>
        <v>ICI</v>
      </c>
      <c r="F105" s="52" t="str">
        <f t="shared" si="28"/>
        <v>ICI</v>
      </c>
      <c r="G105" s="52" t="str">
        <f t="shared" si="28"/>
        <v/>
      </c>
      <c r="H105" s="52" t="str">
        <f t="shared" si="28"/>
        <v/>
      </c>
      <c r="I105" s="52" t="str">
        <f t="shared" si="28"/>
        <v/>
      </c>
      <c r="J105" s="52" t="str">
        <f t="shared" si="28"/>
        <v>ICI</v>
      </c>
      <c r="K105" s="52" t="str">
        <f t="shared" si="28"/>
        <v>ICI</v>
      </c>
      <c r="L105" s="52" t="str">
        <f t="shared" si="28"/>
        <v>ICI</v>
      </c>
      <c r="M105" s="52" t="str">
        <f t="shared" si="28"/>
        <v>ICI</v>
      </c>
      <c r="N105" s="52" t="str">
        <f t="shared" si="28"/>
        <v>ICI</v>
      </c>
      <c r="O105" s="52" t="str">
        <f t="shared" si="28"/>
        <v>ICI</v>
      </c>
      <c r="P105" s="52" t="str">
        <f t="shared" si="28"/>
        <v>ICI</v>
      </c>
      <c r="Q105" s="52" t="str">
        <f t="shared" si="28"/>
        <v>ICI</v>
      </c>
      <c r="R105" s="52" t="str">
        <f t="shared" si="28"/>
        <v>ICI</v>
      </c>
      <c r="S105" s="52" t="str">
        <f t="shared" si="28"/>
        <v>ICI</v>
      </c>
      <c r="T105" s="52" t="str">
        <f t="shared" si="28"/>
        <v>ICI</v>
      </c>
      <c r="U105" s="52" t="str">
        <f t="shared" si="28"/>
        <v>ICI</v>
      </c>
      <c r="V105" s="52" t="str">
        <f t="shared" si="28"/>
        <v>ICI</v>
      </c>
      <c r="W105" s="52" t="str">
        <f t="shared" si="28"/>
        <v>ICI</v>
      </c>
      <c r="X105" s="52" t="str">
        <f t="shared" si="28"/>
        <v>ICI</v>
      </c>
    </row>
    <row r="106" spans="1:24" x14ac:dyDescent="0.25">
      <c r="A106" s="52" t="str">
        <f t="shared" ref="A106:X106" si="29">IF(A26=A71,"","ICI")</f>
        <v>ICI</v>
      </c>
      <c r="B106" s="52" t="str">
        <f t="shared" si="29"/>
        <v>ICI</v>
      </c>
      <c r="C106" s="52" t="str">
        <f t="shared" si="29"/>
        <v>ICI</v>
      </c>
      <c r="D106" s="52" t="str">
        <f t="shared" si="29"/>
        <v>ICI</v>
      </c>
      <c r="E106" s="52" t="str">
        <f t="shared" si="29"/>
        <v>ICI</v>
      </c>
      <c r="F106" s="52" t="str">
        <f t="shared" si="29"/>
        <v>ICI</v>
      </c>
      <c r="G106" s="52" t="str">
        <f t="shared" si="29"/>
        <v/>
      </c>
      <c r="H106" s="52" t="str">
        <f t="shared" si="29"/>
        <v/>
      </c>
      <c r="I106" s="52" t="str">
        <f t="shared" si="29"/>
        <v/>
      </c>
      <c r="J106" s="52" t="str">
        <f t="shared" si="29"/>
        <v>ICI</v>
      </c>
      <c r="K106" s="52" t="str">
        <f t="shared" si="29"/>
        <v>ICI</v>
      </c>
      <c r="L106" s="52" t="str">
        <f t="shared" si="29"/>
        <v>ICI</v>
      </c>
      <c r="M106" s="52" t="str">
        <f t="shared" si="29"/>
        <v>ICI</v>
      </c>
      <c r="N106" s="52" t="str">
        <f t="shared" si="29"/>
        <v>ICI</v>
      </c>
      <c r="O106" s="52" t="str">
        <f t="shared" si="29"/>
        <v>ICI</v>
      </c>
      <c r="P106" s="52" t="str">
        <f t="shared" si="29"/>
        <v>ICI</v>
      </c>
      <c r="Q106" s="52" t="str">
        <f t="shared" si="29"/>
        <v>ICI</v>
      </c>
      <c r="R106" s="52" t="str">
        <f t="shared" si="29"/>
        <v>ICI</v>
      </c>
      <c r="S106" s="52" t="str">
        <f t="shared" si="29"/>
        <v>ICI</v>
      </c>
      <c r="T106" s="52" t="str">
        <f t="shared" si="29"/>
        <v>ICI</v>
      </c>
      <c r="U106" s="52" t="str">
        <f t="shared" si="29"/>
        <v>ICI</v>
      </c>
      <c r="V106" s="52" t="str">
        <f t="shared" si="29"/>
        <v>ICI</v>
      </c>
      <c r="W106" s="52" t="str">
        <f t="shared" si="29"/>
        <v>ICI</v>
      </c>
      <c r="X106" s="52" t="str">
        <f t="shared" si="29"/>
        <v>ICI</v>
      </c>
    </row>
    <row r="107" spans="1:24" x14ac:dyDescent="0.25">
      <c r="A107" s="52" t="str">
        <f t="shared" ref="A107:X107" si="30">IF(A27=A72,"","ICI")</f>
        <v>ICI</v>
      </c>
      <c r="B107" s="52" t="str">
        <f t="shared" si="30"/>
        <v>ICI</v>
      </c>
      <c r="C107" s="52" t="str">
        <f t="shared" si="30"/>
        <v>ICI</v>
      </c>
      <c r="D107" s="52" t="str">
        <f t="shared" si="30"/>
        <v>ICI</v>
      </c>
      <c r="E107" s="52" t="str">
        <f t="shared" si="30"/>
        <v>ICI</v>
      </c>
      <c r="F107" s="52" t="str">
        <f t="shared" si="30"/>
        <v>ICI</v>
      </c>
      <c r="G107" s="52" t="str">
        <f t="shared" si="30"/>
        <v/>
      </c>
      <c r="H107" s="52" t="str">
        <f t="shared" si="30"/>
        <v/>
      </c>
      <c r="I107" s="52" t="str">
        <f t="shared" si="30"/>
        <v/>
      </c>
      <c r="J107" s="52" t="str">
        <f t="shared" si="30"/>
        <v>ICI</v>
      </c>
      <c r="K107" s="52" t="str">
        <f t="shared" si="30"/>
        <v>ICI</v>
      </c>
      <c r="L107" s="52" t="str">
        <f t="shared" si="30"/>
        <v>ICI</v>
      </c>
      <c r="M107" s="52" t="str">
        <f t="shared" si="30"/>
        <v>ICI</v>
      </c>
      <c r="N107" s="52" t="str">
        <f t="shared" si="30"/>
        <v>ICI</v>
      </c>
      <c r="O107" s="52" t="str">
        <f t="shared" si="30"/>
        <v>ICI</v>
      </c>
      <c r="P107" s="52" t="str">
        <f t="shared" si="30"/>
        <v>ICI</v>
      </c>
      <c r="Q107" s="52" t="str">
        <f t="shared" si="30"/>
        <v>ICI</v>
      </c>
      <c r="R107" s="52" t="str">
        <f t="shared" si="30"/>
        <v>ICI</v>
      </c>
      <c r="S107" s="52" t="str">
        <f t="shared" si="30"/>
        <v>ICI</v>
      </c>
      <c r="T107" s="52" t="str">
        <f t="shared" si="30"/>
        <v>ICI</v>
      </c>
      <c r="U107" s="52" t="str">
        <f t="shared" si="30"/>
        <v>ICI</v>
      </c>
      <c r="V107" s="52" t="str">
        <f t="shared" si="30"/>
        <v>ICI</v>
      </c>
      <c r="W107" s="52" t="str">
        <f t="shared" si="30"/>
        <v>ICI</v>
      </c>
      <c r="X107" s="52" t="str">
        <f t="shared" si="30"/>
        <v>ICI</v>
      </c>
    </row>
    <row r="108" spans="1:24" x14ac:dyDescent="0.25">
      <c r="A108" s="52" t="str">
        <f t="shared" ref="A108:X108" si="31">IF(A28=A73,"","ICI")</f>
        <v>ICI</v>
      </c>
      <c r="B108" s="52" t="str">
        <f t="shared" si="31"/>
        <v>ICI</v>
      </c>
      <c r="C108" s="52" t="str">
        <f t="shared" si="31"/>
        <v>ICI</v>
      </c>
      <c r="D108" s="52" t="str">
        <f t="shared" si="31"/>
        <v>ICI</v>
      </c>
      <c r="E108" s="52" t="str">
        <f t="shared" si="31"/>
        <v>ICI</v>
      </c>
      <c r="F108" s="52" t="str">
        <f t="shared" si="31"/>
        <v>ICI</v>
      </c>
      <c r="G108" s="52" t="str">
        <f t="shared" si="31"/>
        <v/>
      </c>
      <c r="H108" s="52" t="str">
        <f t="shared" si="31"/>
        <v/>
      </c>
      <c r="I108" s="52" t="str">
        <f t="shared" si="31"/>
        <v/>
      </c>
      <c r="J108" s="52" t="str">
        <f t="shared" si="31"/>
        <v>ICI</v>
      </c>
      <c r="K108" s="52" t="str">
        <f t="shared" si="31"/>
        <v>ICI</v>
      </c>
      <c r="L108" s="52" t="str">
        <f t="shared" si="31"/>
        <v>ICI</v>
      </c>
      <c r="M108" s="52" t="str">
        <f t="shared" si="31"/>
        <v>ICI</v>
      </c>
      <c r="N108" s="52" t="str">
        <f t="shared" si="31"/>
        <v>ICI</v>
      </c>
      <c r="O108" s="52" t="str">
        <f t="shared" si="31"/>
        <v>ICI</v>
      </c>
      <c r="P108" s="52" t="str">
        <f t="shared" si="31"/>
        <v>ICI</v>
      </c>
      <c r="Q108" s="52" t="str">
        <f t="shared" si="31"/>
        <v>ICI</v>
      </c>
      <c r="R108" s="52" t="str">
        <f t="shared" si="31"/>
        <v>ICI</v>
      </c>
      <c r="S108" s="52" t="str">
        <f t="shared" si="31"/>
        <v>ICI</v>
      </c>
      <c r="T108" s="52" t="str">
        <f t="shared" si="31"/>
        <v>ICI</v>
      </c>
      <c r="U108" s="52" t="str">
        <f t="shared" si="31"/>
        <v>ICI</v>
      </c>
      <c r="V108" s="52" t="str">
        <f t="shared" si="31"/>
        <v>ICI</v>
      </c>
      <c r="W108" s="52" t="str">
        <f t="shared" si="31"/>
        <v>ICI</v>
      </c>
      <c r="X108" s="52" t="str">
        <f t="shared" si="31"/>
        <v>ICI</v>
      </c>
    </row>
    <row r="109" spans="1:24" x14ac:dyDescent="0.25">
      <c r="A109" s="52" t="str">
        <f t="shared" ref="A109:X109" si="32">IF(A29=A74,"","ICI")</f>
        <v>ICI</v>
      </c>
      <c r="B109" s="52" t="str">
        <f t="shared" si="32"/>
        <v>ICI</v>
      </c>
      <c r="C109" s="52" t="str">
        <f t="shared" si="32"/>
        <v>ICI</v>
      </c>
      <c r="D109" s="52" t="str">
        <f t="shared" si="32"/>
        <v>ICI</v>
      </c>
      <c r="E109" s="52" t="str">
        <f t="shared" si="32"/>
        <v>ICI</v>
      </c>
      <c r="F109" s="52" t="str">
        <f t="shared" si="32"/>
        <v>ICI</v>
      </c>
      <c r="G109" s="52" t="str">
        <f t="shared" si="32"/>
        <v/>
      </c>
      <c r="H109" s="52" t="str">
        <f t="shared" si="32"/>
        <v/>
      </c>
      <c r="I109" s="52" t="str">
        <f t="shared" si="32"/>
        <v/>
      </c>
      <c r="J109" s="52" t="str">
        <f t="shared" si="32"/>
        <v>ICI</v>
      </c>
      <c r="K109" s="52" t="str">
        <f t="shared" si="32"/>
        <v>ICI</v>
      </c>
      <c r="L109" s="52" t="str">
        <f t="shared" si="32"/>
        <v>ICI</v>
      </c>
      <c r="M109" s="52" t="str">
        <f t="shared" si="32"/>
        <v>ICI</v>
      </c>
      <c r="N109" s="52" t="str">
        <f t="shared" si="32"/>
        <v>ICI</v>
      </c>
      <c r="O109" s="52" t="str">
        <f t="shared" si="32"/>
        <v>ICI</v>
      </c>
      <c r="P109" s="52" t="str">
        <f t="shared" si="32"/>
        <v>ICI</v>
      </c>
      <c r="Q109" s="52" t="str">
        <f t="shared" si="32"/>
        <v>ICI</v>
      </c>
      <c r="R109" s="52" t="str">
        <f t="shared" si="32"/>
        <v>ICI</v>
      </c>
      <c r="S109" s="52" t="str">
        <f t="shared" si="32"/>
        <v>ICI</v>
      </c>
      <c r="T109" s="52" t="str">
        <f t="shared" si="32"/>
        <v>ICI</v>
      </c>
      <c r="U109" s="52" t="str">
        <f t="shared" si="32"/>
        <v>ICI</v>
      </c>
      <c r="V109" s="52" t="str">
        <f t="shared" si="32"/>
        <v>ICI</v>
      </c>
      <c r="W109" s="52" t="str">
        <f t="shared" si="32"/>
        <v>ICI</v>
      </c>
      <c r="X109" s="52" t="str">
        <f t="shared" si="32"/>
        <v>ICI</v>
      </c>
    </row>
    <row r="110" spans="1:24" x14ac:dyDescent="0.25">
      <c r="A110" s="52" t="str">
        <f t="shared" ref="A110:X110" si="33">IF(A30=A75,"","ICI")</f>
        <v>ICI</v>
      </c>
      <c r="B110" s="52" t="str">
        <f t="shared" si="33"/>
        <v>ICI</v>
      </c>
      <c r="C110" s="52" t="str">
        <f t="shared" si="33"/>
        <v>ICI</v>
      </c>
      <c r="D110" s="52" t="str">
        <f t="shared" si="33"/>
        <v>ICI</v>
      </c>
      <c r="E110" s="52" t="str">
        <f t="shared" si="33"/>
        <v>ICI</v>
      </c>
      <c r="F110" s="52" t="str">
        <f t="shared" si="33"/>
        <v>ICI</v>
      </c>
      <c r="G110" s="52" t="str">
        <f t="shared" si="33"/>
        <v/>
      </c>
      <c r="H110" s="52" t="str">
        <f t="shared" si="33"/>
        <v/>
      </c>
      <c r="I110" s="52" t="str">
        <f t="shared" si="33"/>
        <v/>
      </c>
      <c r="J110" s="52" t="str">
        <f t="shared" si="33"/>
        <v>ICI</v>
      </c>
      <c r="K110" s="52" t="str">
        <f t="shared" si="33"/>
        <v>ICI</v>
      </c>
      <c r="L110" s="52" t="str">
        <f t="shared" si="33"/>
        <v>ICI</v>
      </c>
      <c r="M110" s="52" t="str">
        <f t="shared" si="33"/>
        <v>ICI</v>
      </c>
      <c r="N110" s="52" t="str">
        <f t="shared" si="33"/>
        <v>ICI</v>
      </c>
      <c r="O110" s="52" t="str">
        <f t="shared" si="33"/>
        <v>ICI</v>
      </c>
      <c r="P110" s="52" t="str">
        <f t="shared" si="33"/>
        <v>ICI</v>
      </c>
      <c r="Q110" s="52" t="str">
        <f t="shared" si="33"/>
        <v>ICI</v>
      </c>
      <c r="R110" s="52" t="str">
        <f t="shared" si="33"/>
        <v>ICI</v>
      </c>
      <c r="S110" s="52" t="str">
        <f t="shared" si="33"/>
        <v>ICI</v>
      </c>
      <c r="T110" s="52" t="str">
        <f t="shared" si="33"/>
        <v>ICI</v>
      </c>
      <c r="U110" s="52" t="str">
        <f t="shared" si="33"/>
        <v>ICI</v>
      </c>
      <c r="V110" s="52" t="str">
        <f t="shared" si="33"/>
        <v>ICI</v>
      </c>
      <c r="W110" s="52" t="str">
        <f t="shared" si="33"/>
        <v>ICI</v>
      </c>
      <c r="X110" s="52" t="str">
        <f t="shared" si="33"/>
        <v>ICI</v>
      </c>
    </row>
    <row r="111" spans="1:24" x14ac:dyDescent="0.25">
      <c r="A111" s="52" t="str">
        <f t="shared" ref="A111:X111" si="34">IF(A33=A76,"","ICI")</f>
        <v/>
      </c>
      <c r="B111" s="52" t="str">
        <f t="shared" si="34"/>
        <v/>
      </c>
      <c r="C111" s="52" t="str">
        <f t="shared" si="34"/>
        <v/>
      </c>
      <c r="D111" s="52" t="str">
        <f t="shared" si="34"/>
        <v/>
      </c>
      <c r="E111" s="52" t="str">
        <f t="shared" si="34"/>
        <v/>
      </c>
      <c r="F111" s="52" t="str">
        <f t="shared" si="34"/>
        <v/>
      </c>
      <c r="G111" s="52" t="str">
        <f t="shared" si="34"/>
        <v/>
      </c>
      <c r="H111" s="52" t="str">
        <f t="shared" si="34"/>
        <v/>
      </c>
      <c r="I111" s="52" t="str">
        <f t="shared" si="34"/>
        <v/>
      </c>
      <c r="J111" s="52" t="str">
        <f t="shared" si="34"/>
        <v/>
      </c>
      <c r="K111" s="52" t="str">
        <f t="shared" si="34"/>
        <v/>
      </c>
      <c r="L111" s="52" t="str">
        <f t="shared" si="34"/>
        <v/>
      </c>
      <c r="M111" s="52" t="str">
        <f t="shared" si="34"/>
        <v/>
      </c>
      <c r="N111" s="52" t="str">
        <f t="shared" si="34"/>
        <v/>
      </c>
      <c r="O111" s="52" t="str">
        <f t="shared" si="34"/>
        <v/>
      </c>
      <c r="P111" s="52" t="str">
        <f t="shared" si="34"/>
        <v/>
      </c>
      <c r="Q111" s="52" t="str">
        <f t="shared" si="34"/>
        <v/>
      </c>
      <c r="R111" s="52" t="str">
        <f t="shared" si="34"/>
        <v/>
      </c>
      <c r="S111" s="52" t="str">
        <f t="shared" si="34"/>
        <v/>
      </c>
      <c r="T111" s="52" t="str">
        <f t="shared" si="34"/>
        <v/>
      </c>
      <c r="U111" s="52" t="str">
        <f t="shared" si="34"/>
        <v/>
      </c>
      <c r="V111" s="52" t="str">
        <f t="shared" si="34"/>
        <v/>
      </c>
      <c r="W111" s="52" t="str">
        <f t="shared" si="34"/>
        <v/>
      </c>
      <c r="X111" s="52" t="str">
        <f t="shared" si="34"/>
        <v/>
      </c>
    </row>
    <row r="112" spans="1:24" x14ac:dyDescent="0.25">
      <c r="A112" s="52" t="str">
        <f t="shared" ref="A112:X112" si="35">IF(A35=A77,"","ICI")</f>
        <v/>
      </c>
      <c r="B112" s="52" t="str">
        <f t="shared" si="35"/>
        <v/>
      </c>
      <c r="C112" s="52" t="str">
        <f t="shared" si="35"/>
        <v/>
      </c>
      <c r="D112" s="52" t="str">
        <f t="shared" si="35"/>
        <v/>
      </c>
      <c r="E112" s="52" t="str">
        <f t="shared" si="35"/>
        <v/>
      </c>
      <c r="F112" s="52" t="str">
        <f t="shared" si="35"/>
        <v/>
      </c>
      <c r="G112" s="52" t="str">
        <f t="shared" si="35"/>
        <v/>
      </c>
      <c r="H112" s="52" t="str">
        <f t="shared" si="35"/>
        <v/>
      </c>
      <c r="I112" s="52" t="str">
        <f t="shared" si="35"/>
        <v/>
      </c>
      <c r="J112" s="52" t="str">
        <f t="shared" si="35"/>
        <v/>
      </c>
      <c r="K112" s="52" t="str">
        <f t="shared" si="35"/>
        <v/>
      </c>
      <c r="L112" s="52" t="str">
        <f t="shared" si="35"/>
        <v/>
      </c>
      <c r="M112" s="52" t="str">
        <f t="shared" si="35"/>
        <v/>
      </c>
      <c r="N112" s="52" t="str">
        <f t="shared" si="35"/>
        <v/>
      </c>
      <c r="O112" s="52" t="str">
        <f t="shared" si="35"/>
        <v/>
      </c>
      <c r="P112" s="52" t="str">
        <f t="shared" si="35"/>
        <v/>
      </c>
      <c r="Q112" s="52" t="str">
        <f t="shared" si="35"/>
        <v/>
      </c>
      <c r="R112" s="52" t="str">
        <f t="shared" si="35"/>
        <v/>
      </c>
      <c r="S112" s="52" t="str">
        <f t="shared" si="35"/>
        <v/>
      </c>
      <c r="T112" s="52" t="str">
        <f t="shared" si="35"/>
        <v/>
      </c>
      <c r="U112" s="52" t="str">
        <f t="shared" si="35"/>
        <v/>
      </c>
      <c r="V112" s="52" t="str">
        <f t="shared" si="35"/>
        <v/>
      </c>
      <c r="W112" s="52" t="str">
        <f t="shared" si="35"/>
        <v/>
      </c>
      <c r="X112" s="52" t="str">
        <f t="shared" si="35"/>
        <v/>
      </c>
    </row>
    <row r="113" spans="1:24" x14ac:dyDescent="0.25">
      <c r="A113" s="52" t="str">
        <f t="shared" ref="A113:X113" si="36">IF(A36=A78,"","ICI")</f>
        <v/>
      </c>
      <c r="B113" s="52" t="str">
        <f t="shared" si="36"/>
        <v/>
      </c>
      <c r="C113" s="52" t="str">
        <f t="shared" si="36"/>
        <v/>
      </c>
      <c r="D113" s="52" t="str">
        <f t="shared" si="36"/>
        <v/>
      </c>
      <c r="E113" s="52" t="str">
        <f t="shared" si="36"/>
        <v/>
      </c>
      <c r="F113" s="52" t="str">
        <f t="shared" si="36"/>
        <v/>
      </c>
      <c r="G113" s="52" t="str">
        <f t="shared" si="36"/>
        <v/>
      </c>
      <c r="H113" s="52" t="str">
        <f t="shared" si="36"/>
        <v/>
      </c>
      <c r="I113" s="52" t="str">
        <f t="shared" si="36"/>
        <v/>
      </c>
      <c r="J113" s="52" t="str">
        <f t="shared" si="36"/>
        <v/>
      </c>
      <c r="K113" s="52" t="str">
        <f t="shared" si="36"/>
        <v/>
      </c>
      <c r="L113" s="52" t="str">
        <f t="shared" si="36"/>
        <v/>
      </c>
      <c r="M113" s="52" t="str">
        <f t="shared" si="36"/>
        <v/>
      </c>
      <c r="N113" s="52" t="str">
        <f t="shared" si="36"/>
        <v/>
      </c>
      <c r="O113" s="52" t="str">
        <f t="shared" si="36"/>
        <v/>
      </c>
      <c r="P113" s="52" t="str">
        <f t="shared" si="36"/>
        <v/>
      </c>
      <c r="Q113" s="52" t="str">
        <f t="shared" si="36"/>
        <v/>
      </c>
      <c r="R113" s="52" t="str">
        <f t="shared" si="36"/>
        <v/>
      </c>
      <c r="S113" s="52" t="str">
        <f t="shared" si="36"/>
        <v/>
      </c>
      <c r="T113" s="52" t="str">
        <f t="shared" si="36"/>
        <v/>
      </c>
      <c r="U113" s="52" t="str">
        <f t="shared" si="36"/>
        <v/>
      </c>
      <c r="V113" s="52" t="str">
        <f t="shared" si="36"/>
        <v/>
      </c>
      <c r="W113" s="52" t="str">
        <f t="shared" si="36"/>
        <v/>
      </c>
      <c r="X113" s="52" t="str">
        <f t="shared" si="36"/>
        <v/>
      </c>
    </row>
    <row r="114" spans="1:24" x14ac:dyDescent="0.25">
      <c r="A114" s="52" t="str">
        <f t="shared" ref="A114:X114" si="37">IF(A37=A79,"","ICI")</f>
        <v/>
      </c>
      <c r="B114" s="52" t="str">
        <f t="shared" si="37"/>
        <v/>
      </c>
      <c r="C114" s="52" t="str">
        <f t="shared" si="37"/>
        <v/>
      </c>
      <c r="D114" s="52" t="str">
        <f t="shared" si="37"/>
        <v/>
      </c>
      <c r="E114" s="52" t="str">
        <f t="shared" si="37"/>
        <v/>
      </c>
      <c r="F114" s="52" t="str">
        <f t="shared" si="37"/>
        <v/>
      </c>
      <c r="G114" s="52" t="str">
        <f t="shared" si="37"/>
        <v/>
      </c>
      <c r="H114" s="52" t="str">
        <f t="shared" si="37"/>
        <v/>
      </c>
      <c r="I114" s="52" t="str">
        <f t="shared" si="37"/>
        <v/>
      </c>
      <c r="J114" s="52" t="str">
        <f t="shared" si="37"/>
        <v/>
      </c>
      <c r="K114" s="52" t="str">
        <f t="shared" si="37"/>
        <v/>
      </c>
      <c r="L114" s="52" t="str">
        <f t="shared" si="37"/>
        <v/>
      </c>
      <c r="M114" s="52" t="str">
        <f t="shared" si="37"/>
        <v/>
      </c>
      <c r="N114" s="52" t="str">
        <f t="shared" si="37"/>
        <v/>
      </c>
      <c r="O114" s="52" t="str">
        <f t="shared" si="37"/>
        <v/>
      </c>
      <c r="P114" s="52" t="str">
        <f t="shared" si="37"/>
        <v/>
      </c>
      <c r="Q114" s="52" t="str">
        <f t="shared" si="37"/>
        <v/>
      </c>
      <c r="R114" s="52" t="str">
        <f t="shared" si="37"/>
        <v/>
      </c>
      <c r="S114" s="52" t="str">
        <f t="shared" si="37"/>
        <v/>
      </c>
      <c r="T114" s="52" t="str">
        <f t="shared" si="37"/>
        <v/>
      </c>
      <c r="U114" s="52" t="str">
        <f t="shared" si="37"/>
        <v/>
      </c>
      <c r="V114" s="52" t="str">
        <f t="shared" si="37"/>
        <v/>
      </c>
      <c r="W114" s="52" t="str">
        <f t="shared" si="37"/>
        <v/>
      </c>
      <c r="X114" s="52" t="str">
        <f t="shared" si="37"/>
        <v/>
      </c>
    </row>
    <row r="115" spans="1:24" x14ac:dyDescent="0.25">
      <c r="A115" s="52" t="str">
        <f t="shared" ref="A115:X115" si="38">IF(A38=A80,"","ICI")</f>
        <v>ICI</v>
      </c>
      <c r="B115" s="52" t="str">
        <f t="shared" si="38"/>
        <v>ICI</v>
      </c>
      <c r="C115" s="52" t="str">
        <f t="shared" si="38"/>
        <v>ICI</v>
      </c>
      <c r="D115" s="52" t="str">
        <f t="shared" si="38"/>
        <v>ICI</v>
      </c>
      <c r="E115" s="52" t="str">
        <f t="shared" si="38"/>
        <v>ICI</v>
      </c>
      <c r="F115" s="52" t="str">
        <f t="shared" si="38"/>
        <v>ICI</v>
      </c>
      <c r="G115" s="52" t="str">
        <f t="shared" si="38"/>
        <v/>
      </c>
      <c r="H115" s="52" t="str">
        <f t="shared" si="38"/>
        <v/>
      </c>
      <c r="I115" s="52" t="str">
        <f t="shared" si="38"/>
        <v/>
      </c>
      <c r="J115" s="52" t="str">
        <f t="shared" si="38"/>
        <v>ICI</v>
      </c>
      <c r="K115" s="52" t="str">
        <f t="shared" si="38"/>
        <v>ICI</v>
      </c>
      <c r="L115" s="52" t="str">
        <f t="shared" si="38"/>
        <v>ICI</v>
      </c>
      <c r="M115" s="52" t="str">
        <f t="shared" si="38"/>
        <v>ICI</v>
      </c>
      <c r="N115" s="52" t="str">
        <f t="shared" si="38"/>
        <v>ICI</v>
      </c>
      <c r="O115" s="52" t="str">
        <f t="shared" si="38"/>
        <v>ICI</v>
      </c>
      <c r="P115" s="52" t="str">
        <f t="shared" si="38"/>
        <v>ICI</v>
      </c>
      <c r="Q115" s="52" t="str">
        <f t="shared" si="38"/>
        <v>ICI</v>
      </c>
      <c r="R115" s="52" t="str">
        <f t="shared" si="38"/>
        <v>ICI</v>
      </c>
      <c r="S115" s="52" t="str">
        <f t="shared" si="38"/>
        <v>ICI</v>
      </c>
      <c r="T115" s="52" t="str">
        <f t="shared" si="38"/>
        <v>ICI</v>
      </c>
      <c r="U115" s="52" t="str">
        <f t="shared" si="38"/>
        <v>ICI</v>
      </c>
      <c r="V115" s="52" t="str">
        <f t="shared" si="38"/>
        <v>ICI</v>
      </c>
      <c r="W115" s="52" t="str">
        <f t="shared" si="38"/>
        <v>ICI</v>
      </c>
      <c r="X115" s="52" t="str">
        <f t="shared" si="38"/>
        <v>ICI</v>
      </c>
    </row>
    <row r="116" spans="1:24" x14ac:dyDescent="0.25">
      <c r="A116" s="52" t="str">
        <f t="shared" ref="A116:X116" si="39">IF(A39=A81,"","ICI")</f>
        <v>ICI</v>
      </c>
      <c r="B116" s="52" t="str">
        <f t="shared" si="39"/>
        <v>ICI</v>
      </c>
      <c r="C116" s="52" t="str">
        <f t="shared" si="39"/>
        <v>ICI</v>
      </c>
      <c r="D116" s="52" t="str">
        <f t="shared" si="39"/>
        <v>ICI</v>
      </c>
      <c r="E116" s="52" t="str">
        <f t="shared" si="39"/>
        <v>ICI</v>
      </c>
      <c r="F116" s="52" t="str">
        <f t="shared" si="39"/>
        <v>ICI</v>
      </c>
      <c r="G116" s="52" t="str">
        <f t="shared" si="39"/>
        <v/>
      </c>
      <c r="H116" s="52" t="str">
        <f t="shared" si="39"/>
        <v/>
      </c>
      <c r="I116" s="52" t="str">
        <f t="shared" si="39"/>
        <v/>
      </c>
      <c r="J116" s="52" t="str">
        <f t="shared" si="39"/>
        <v>ICI</v>
      </c>
      <c r="K116" s="52" t="str">
        <f t="shared" si="39"/>
        <v>ICI</v>
      </c>
      <c r="L116" s="52" t="str">
        <f t="shared" si="39"/>
        <v>ICI</v>
      </c>
      <c r="M116" s="52" t="str">
        <f t="shared" si="39"/>
        <v>ICI</v>
      </c>
      <c r="N116" s="52" t="str">
        <f t="shared" si="39"/>
        <v>ICI</v>
      </c>
      <c r="O116" s="52" t="str">
        <f t="shared" si="39"/>
        <v>ICI</v>
      </c>
      <c r="P116" s="52" t="str">
        <f t="shared" si="39"/>
        <v>ICI</v>
      </c>
      <c r="Q116" s="52" t="str">
        <f t="shared" si="39"/>
        <v>ICI</v>
      </c>
      <c r="R116" s="52" t="str">
        <f t="shared" si="39"/>
        <v>ICI</v>
      </c>
      <c r="S116" s="52" t="str">
        <f t="shared" si="39"/>
        <v>ICI</v>
      </c>
      <c r="T116" s="52" t="str">
        <f t="shared" si="39"/>
        <v>ICI</v>
      </c>
      <c r="U116" s="52" t="str">
        <f t="shared" si="39"/>
        <v>ICI</v>
      </c>
      <c r="V116" s="52" t="str">
        <f t="shared" si="39"/>
        <v>ICI</v>
      </c>
      <c r="W116" s="52" t="str">
        <f t="shared" si="39"/>
        <v>ICI</v>
      </c>
      <c r="X116" s="52" t="str">
        <f t="shared" si="39"/>
        <v>ICI</v>
      </c>
    </row>
    <row r="117" spans="1:24" x14ac:dyDescent="0.25">
      <c r="A117" s="52" t="str">
        <f t="shared" ref="A117:X117" si="40">IF(A40=A82,"","ICI")</f>
        <v>ICI</v>
      </c>
      <c r="B117" s="52" t="str">
        <f t="shared" si="40"/>
        <v>ICI</v>
      </c>
      <c r="C117" s="52" t="str">
        <f t="shared" si="40"/>
        <v>ICI</v>
      </c>
      <c r="D117" s="52" t="str">
        <f t="shared" si="40"/>
        <v>ICI</v>
      </c>
      <c r="E117" s="52" t="str">
        <f t="shared" si="40"/>
        <v>ICI</v>
      </c>
      <c r="F117" s="52" t="str">
        <f t="shared" si="40"/>
        <v>ICI</v>
      </c>
      <c r="G117" s="52" t="str">
        <f t="shared" si="40"/>
        <v/>
      </c>
      <c r="H117" s="52" t="str">
        <f t="shared" si="40"/>
        <v/>
      </c>
      <c r="I117" s="52" t="str">
        <f t="shared" si="40"/>
        <v/>
      </c>
      <c r="J117" s="52" t="str">
        <f t="shared" si="40"/>
        <v>ICI</v>
      </c>
      <c r="K117" s="52" t="str">
        <f t="shared" si="40"/>
        <v>ICI</v>
      </c>
      <c r="L117" s="52" t="str">
        <f t="shared" si="40"/>
        <v>ICI</v>
      </c>
      <c r="M117" s="52" t="str">
        <f t="shared" si="40"/>
        <v>ICI</v>
      </c>
      <c r="N117" s="52" t="str">
        <f t="shared" si="40"/>
        <v>ICI</v>
      </c>
      <c r="O117" s="52" t="str">
        <f t="shared" si="40"/>
        <v>ICI</v>
      </c>
      <c r="P117" s="52" t="str">
        <f t="shared" si="40"/>
        <v>ICI</v>
      </c>
      <c r="Q117" s="52" t="str">
        <f t="shared" si="40"/>
        <v>ICI</v>
      </c>
      <c r="R117" s="52" t="str">
        <f t="shared" si="40"/>
        <v>ICI</v>
      </c>
      <c r="S117" s="52" t="str">
        <f t="shared" si="40"/>
        <v>ICI</v>
      </c>
      <c r="T117" s="52" t="str">
        <f t="shared" si="40"/>
        <v>ICI</v>
      </c>
      <c r="U117" s="52" t="str">
        <f t="shared" si="40"/>
        <v>ICI</v>
      </c>
      <c r="V117" s="52" t="str">
        <f t="shared" si="40"/>
        <v>ICI</v>
      </c>
      <c r="W117" s="52" t="str">
        <f t="shared" si="40"/>
        <v>ICI</v>
      </c>
      <c r="X117" s="52" t="str">
        <f t="shared" si="40"/>
        <v>ICI</v>
      </c>
    </row>
    <row r="118" spans="1:24" x14ac:dyDescent="0.25">
      <c r="A118" s="52" t="str">
        <f t="shared" ref="A118:X118" si="41">IF(A41=A83,"","ICI")</f>
        <v>ICI</v>
      </c>
      <c r="B118" s="52" t="str">
        <f t="shared" si="41"/>
        <v>ICI</v>
      </c>
      <c r="C118" s="52" t="str">
        <f t="shared" si="41"/>
        <v>ICI</v>
      </c>
      <c r="D118" s="52" t="str">
        <f t="shared" si="41"/>
        <v>ICI</v>
      </c>
      <c r="E118" s="52" t="str">
        <f t="shared" si="41"/>
        <v>ICI</v>
      </c>
      <c r="F118" s="52" t="str">
        <f t="shared" si="41"/>
        <v>ICI</v>
      </c>
      <c r="G118" s="52" t="str">
        <f t="shared" si="41"/>
        <v/>
      </c>
      <c r="H118" s="52" t="str">
        <f t="shared" si="41"/>
        <v/>
      </c>
      <c r="I118" s="52" t="str">
        <f t="shared" si="41"/>
        <v/>
      </c>
      <c r="J118" s="52" t="str">
        <f t="shared" si="41"/>
        <v>ICI</v>
      </c>
      <c r="K118" s="52" t="str">
        <f t="shared" si="41"/>
        <v>ICI</v>
      </c>
      <c r="L118" s="52" t="str">
        <f t="shared" si="41"/>
        <v>ICI</v>
      </c>
      <c r="M118" s="52" t="str">
        <f t="shared" si="41"/>
        <v>ICI</v>
      </c>
      <c r="N118" s="52" t="str">
        <f t="shared" si="41"/>
        <v>ICI</v>
      </c>
      <c r="O118" s="52" t="str">
        <f t="shared" si="41"/>
        <v>ICI</v>
      </c>
      <c r="P118" s="52" t="str">
        <f t="shared" si="41"/>
        <v>ICI</v>
      </c>
      <c r="Q118" s="52" t="str">
        <f t="shared" si="41"/>
        <v>ICI</v>
      </c>
      <c r="R118" s="52" t="str">
        <f t="shared" si="41"/>
        <v>ICI</v>
      </c>
      <c r="S118" s="52" t="str">
        <f t="shared" si="41"/>
        <v>ICI</v>
      </c>
      <c r="T118" s="52" t="str">
        <f t="shared" si="41"/>
        <v>ICI</v>
      </c>
      <c r="U118" s="52" t="str">
        <f t="shared" si="41"/>
        <v>ICI</v>
      </c>
      <c r="V118" s="52" t="str">
        <f t="shared" si="41"/>
        <v>ICI</v>
      </c>
      <c r="W118" s="52" t="str">
        <f t="shared" si="41"/>
        <v>ICI</v>
      </c>
      <c r="X118" s="52" t="str">
        <f t="shared" si="41"/>
        <v>ICI</v>
      </c>
    </row>
    <row r="119" spans="1:24" x14ac:dyDescent="0.25">
      <c r="A119" s="52" t="str">
        <f t="shared" ref="A119:X119" si="42">IF(A42=A84,"","ICI")</f>
        <v>ICI</v>
      </c>
      <c r="B119" s="52" t="str">
        <f t="shared" si="42"/>
        <v>ICI</v>
      </c>
      <c r="C119" s="52" t="str">
        <f t="shared" si="42"/>
        <v>ICI</v>
      </c>
      <c r="D119" s="52" t="str">
        <f t="shared" si="42"/>
        <v>ICI</v>
      </c>
      <c r="E119" s="52" t="str">
        <f t="shared" si="42"/>
        <v>ICI</v>
      </c>
      <c r="F119" s="52" t="str">
        <f t="shared" si="42"/>
        <v>ICI</v>
      </c>
      <c r="G119" s="52" t="str">
        <f t="shared" si="42"/>
        <v/>
      </c>
      <c r="H119" s="52" t="str">
        <f t="shared" si="42"/>
        <v/>
      </c>
      <c r="I119" s="52" t="str">
        <f t="shared" si="42"/>
        <v/>
      </c>
      <c r="J119" s="52" t="str">
        <f t="shared" si="42"/>
        <v>ICI</v>
      </c>
      <c r="K119" s="52" t="str">
        <f t="shared" si="42"/>
        <v>ICI</v>
      </c>
      <c r="L119" s="52" t="str">
        <f t="shared" si="42"/>
        <v>ICI</v>
      </c>
      <c r="M119" s="52" t="str">
        <f t="shared" si="42"/>
        <v>ICI</v>
      </c>
      <c r="N119" s="52" t="str">
        <f t="shared" si="42"/>
        <v>ICI</v>
      </c>
      <c r="O119" s="52" t="str">
        <f t="shared" si="42"/>
        <v>ICI</v>
      </c>
      <c r="P119" s="52" t="str">
        <f t="shared" si="42"/>
        <v>ICI</v>
      </c>
      <c r="Q119" s="52" t="str">
        <f t="shared" si="42"/>
        <v>ICI</v>
      </c>
      <c r="R119" s="52" t="str">
        <f t="shared" si="42"/>
        <v>ICI</v>
      </c>
      <c r="S119" s="52" t="str">
        <f t="shared" si="42"/>
        <v>ICI</v>
      </c>
      <c r="T119" s="52" t="str">
        <f t="shared" si="42"/>
        <v>ICI</v>
      </c>
      <c r="U119" s="52" t="str">
        <f t="shared" si="42"/>
        <v>ICI</v>
      </c>
      <c r="V119" s="52" t="str">
        <f t="shared" si="42"/>
        <v>ICI</v>
      </c>
      <c r="W119" s="52" t="str">
        <f t="shared" si="42"/>
        <v>ICI</v>
      </c>
      <c r="X119" s="52" t="str">
        <f t="shared" si="42"/>
        <v>ICI</v>
      </c>
    </row>
    <row r="120" spans="1:24" x14ac:dyDescent="0.25">
      <c r="A120" s="52" t="str">
        <f t="shared" ref="A120:X120" si="43">IF(A43=A85,"","ICI")</f>
        <v>ICI</v>
      </c>
      <c r="B120" s="52" t="str">
        <f t="shared" si="43"/>
        <v>ICI</v>
      </c>
      <c r="C120" s="52" t="str">
        <f t="shared" si="43"/>
        <v>ICI</v>
      </c>
      <c r="D120" s="52" t="str">
        <f t="shared" si="43"/>
        <v>ICI</v>
      </c>
      <c r="E120" s="52" t="str">
        <f t="shared" si="43"/>
        <v>ICI</v>
      </c>
      <c r="F120" s="52" t="str">
        <f t="shared" si="43"/>
        <v>ICI</v>
      </c>
      <c r="G120" s="52" t="str">
        <f t="shared" si="43"/>
        <v>ICI</v>
      </c>
      <c r="H120" s="52" t="str">
        <f t="shared" si="43"/>
        <v/>
      </c>
      <c r="I120" s="52" t="str">
        <f t="shared" si="43"/>
        <v/>
      </c>
      <c r="J120" s="52" t="str">
        <f t="shared" si="43"/>
        <v>ICI</v>
      </c>
      <c r="K120" s="52" t="str">
        <f t="shared" si="43"/>
        <v>ICI</v>
      </c>
      <c r="L120" s="52" t="str">
        <f t="shared" si="43"/>
        <v>ICI</v>
      </c>
      <c r="M120" s="52" t="str">
        <f t="shared" si="43"/>
        <v>ICI</v>
      </c>
      <c r="N120" s="52" t="str">
        <f t="shared" si="43"/>
        <v>ICI</v>
      </c>
      <c r="O120" s="52" t="str">
        <f t="shared" si="43"/>
        <v>ICI</v>
      </c>
      <c r="P120" s="52" t="str">
        <f t="shared" si="43"/>
        <v>ICI</v>
      </c>
      <c r="Q120" s="52" t="str">
        <f t="shared" si="43"/>
        <v>ICI</v>
      </c>
      <c r="R120" s="52" t="str">
        <f t="shared" si="43"/>
        <v>ICI</v>
      </c>
      <c r="S120" s="52" t="str">
        <f t="shared" si="43"/>
        <v>ICI</v>
      </c>
      <c r="T120" s="52" t="str">
        <f t="shared" si="43"/>
        <v>ICI</v>
      </c>
      <c r="U120" s="52" t="str">
        <f t="shared" si="43"/>
        <v>ICI</v>
      </c>
      <c r="V120" s="52" t="str">
        <f t="shared" si="43"/>
        <v>ICI</v>
      </c>
      <c r="W120" s="52" t="str">
        <f t="shared" si="43"/>
        <v>ICI</v>
      </c>
      <c r="X120" s="52" t="str">
        <f t="shared" si="43"/>
        <v>ICI</v>
      </c>
    </row>
    <row r="121" spans="1:24" x14ac:dyDescent="0.25">
      <c r="A121" s="52" t="str">
        <f t="shared" ref="A121:X121" si="44">IF(A44=A86,"","ICI")</f>
        <v>ICI</v>
      </c>
      <c r="B121" s="52" t="str">
        <f t="shared" si="44"/>
        <v>ICI</v>
      </c>
      <c r="C121" s="52" t="str">
        <f t="shared" si="44"/>
        <v>ICI</v>
      </c>
      <c r="D121" s="52" t="str">
        <f t="shared" si="44"/>
        <v>ICI</v>
      </c>
      <c r="E121" s="52" t="str">
        <f t="shared" si="44"/>
        <v>ICI</v>
      </c>
      <c r="F121" s="52" t="str">
        <f t="shared" si="44"/>
        <v>ICI</v>
      </c>
      <c r="G121" s="52" t="str">
        <f t="shared" si="44"/>
        <v>ICI</v>
      </c>
      <c r="H121" s="52" t="str">
        <f t="shared" si="44"/>
        <v/>
      </c>
      <c r="I121" s="52" t="str">
        <f t="shared" si="44"/>
        <v/>
      </c>
      <c r="J121" s="52" t="str">
        <f t="shared" si="44"/>
        <v>ICI</v>
      </c>
      <c r="K121" s="52" t="str">
        <f t="shared" si="44"/>
        <v>ICI</v>
      </c>
      <c r="L121" s="52" t="str">
        <f t="shared" si="44"/>
        <v>ICI</v>
      </c>
      <c r="M121" s="52" t="str">
        <f t="shared" si="44"/>
        <v>ICI</v>
      </c>
      <c r="N121" s="52" t="str">
        <f t="shared" si="44"/>
        <v/>
      </c>
      <c r="O121" s="52" t="str">
        <f t="shared" si="44"/>
        <v/>
      </c>
      <c r="P121" s="52" t="str">
        <f t="shared" si="44"/>
        <v/>
      </c>
      <c r="Q121" s="52" t="str">
        <f t="shared" si="44"/>
        <v/>
      </c>
      <c r="R121" s="52" t="str">
        <f t="shared" si="44"/>
        <v/>
      </c>
      <c r="S121" s="52" t="str">
        <f t="shared" si="44"/>
        <v/>
      </c>
      <c r="T121" s="52" t="str">
        <f t="shared" si="44"/>
        <v/>
      </c>
      <c r="U121" s="52" t="str">
        <f t="shared" si="44"/>
        <v/>
      </c>
      <c r="V121" s="52" t="str">
        <f t="shared" si="44"/>
        <v/>
      </c>
      <c r="W121" s="52" t="str">
        <f t="shared" si="44"/>
        <v>ICI</v>
      </c>
      <c r="X121" s="52" t="str">
        <f t="shared" si="44"/>
        <v>ICI</v>
      </c>
    </row>
  </sheetData>
  <scenarios current="0">
    <scenario name="aa" count="29" user="remi" comment="Créé par remi le 11/1/2020">
      <inputCells r="Z3" val="2"/>
      <inputCells r="Z39" val="2"/>
      <inputCells r="Z4" val="2"/>
      <inputCells r="Z5" val="2"/>
      <inputCells r="Z6" val="3"/>
      <inputCells r="Z7" val="3"/>
      <inputCells r="Z8" val="3"/>
      <inputCells r="Z9" val="3"/>
      <inputCells r="Z10" val="4"/>
      <inputCells r="Z11" val="4"/>
      <inputCells r="Z12" val="5"/>
      <inputCells r="Z13" val="5"/>
      <inputCells r="Z14" val="5"/>
      <inputCells r="Z15" val="5"/>
      <inputCells r="Z16" val="6"/>
      <inputCells r="Z17" val="6"/>
      <inputCells r="Z18" val="6"/>
      <inputCells r="Z19" val="7"/>
      <inputCells r="Z20" val="7"/>
      <inputCells r="Z21" val="7"/>
      <inputCells r="Z22" val="7"/>
      <inputCells r="Z23" val="6"/>
      <inputCells r="Z24" val="5"/>
      <inputCells r="Z25" val="4"/>
      <inputCells r="Z26" val="3"/>
      <inputCells r="Z27" val="2"/>
      <inputCells r="Z28" val="1"/>
      <inputCells r="Z29" val="7"/>
      <inputCells r="Z30" val="1"/>
    </scenario>
  </scenarios>
  <mergeCells count="4">
    <mergeCell ref="A1:B1"/>
    <mergeCell ref="C1:F1"/>
    <mergeCell ref="G1:I1"/>
    <mergeCell ref="J1:X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DV121"/>
  <sheetViews>
    <sheetView zoomScale="90" zoomScaleNormal="90" workbookViewId="0">
      <selection activeCell="Y3" sqref="Y3"/>
    </sheetView>
  </sheetViews>
  <sheetFormatPr baseColWidth="10" defaultColWidth="5.140625" defaultRowHeight="15" outlineLevelCol="1" x14ac:dyDescent="0.25"/>
  <cols>
    <col min="1" max="1" width="46.7109375" style="52" bestFit="1" customWidth="1"/>
    <col min="2" max="2" width="45" style="52" bestFit="1" customWidth="1"/>
    <col min="3" max="24" width="5.140625" style="52" hidden="1" customWidth="1" outlineLevel="1"/>
    <col min="25" max="25" width="5.140625" style="52" collapsed="1"/>
    <col min="26" max="26" width="5.140625" style="52" customWidth="1"/>
    <col min="27" max="27" width="19.140625" style="52" bestFit="1" customWidth="1"/>
    <col min="28" max="28" width="16" style="52" customWidth="1"/>
    <col min="29" max="29" width="17" style="52" hidden="1" customWidth="1" outlineLevel="1"/>
    <col min="30" max="30" width="8" style="52" hidden="1" customWidth="1" outlineLevel="1"/>
    <col min="31" max="31" width="17" style="52" hidden="1" customWidth="1" outlineLevel="1"/>
    <col min="32" max="32" width="14.7109375" style="52" hidden="1" customWidth="1" outlineLevel="1"/>
    <col min="33" max="33" width="5.28515625" style="52" hidden="1" customWidth="1" outlineLevel="1"/>
    <col min="34" max="34" width="16.5703125" style="52" hidden="1" customWidth="1" outlineLevel="1"/>
    <col min="35" max="35" width="24.7109375" style="52" hidden="1" customWidth="1" outlineLevel="1"/>
    <col min="36" max="36" width="23.42578125" style="52" hidden="1" customWidth="1" outlineLevel="1"/>
    <col min="37" max="38" width="5.140625" style="52" hidden="1" customWidth="1" outlineLevel="1"/>
    <col min="39" max="39" width="13.5703125" style="52" hidden="1" customWidth="1" outlineLevel="1"/>
    <col min="40" max="40" width="11" style="52" hidden="1" customWidth="1" outlineLevel="1"/>
    <col min="41" max="41" width="5.140625" style="52" hidden="1" customWidth="1" outlineLevel="1"/>
    <col min="42" max="42" width="22.28515625" style="52" hidden="1" customWidth="1" outlineLevel="1"/>
    <col min="43" max="43" width="12" style="52" bestFit="1" customWidth="1" collapsed="1"/>
    <col min="44" max="46" width="5.140625" style="52"/>
    <col min="47" max="47" width="20.85546875" style="52" bestFit="1" customWidth="1"/>
    <col min="74" max="98" width="5.140625" style="2"/>
    <col min="127" max="16384" width="5.140625" style="2"/>
  </cols>
  <sheetData>
    <row r="1" spans="1:126" ht="15.75" thickBot="1" x14ac:dyDescent="0.3">
      <c r="A1" s="57" t="s">
        <v>36</v>
      </c>
      <c r="B1" s="58"/>
      <c r="C1" s="57" t="s">
        <v>8</v>
      </c>
      <c r="D1" s="59"/>
      <c r="E1" s="59"/>
      <c r="F1" s="58"/>
      <c r="G1" s="60" t="s">
        <v>19</v>
      </c>
      <c r="H1" s="61"/>
      <c r="I1" s="62"/>
      <c r="J1" s="63" t="s">
        <v>6</v>
      </c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5"/>
      <c r="Y1" s="22"/>
      <c r="Z1" s="6" t="s">
        <v>7</v>
      </c>
      <c r="AA1" s="2" t="s">
        <v>20</v>
      </c>
      <c r="AB1" s="2" t="s">
        <v>92</v>
      </c>
      <c r="AC1" s="2" t="s">
        <v>17</v>
      </c>
      <c r="AD1" s="2" t="s">
        <v>9</v>
      </c>
      <c r="AE1" s="2"/>
      <c r="AF1" s="2"/>
      <c r="AG1" s="2"/>
      <c r="AH1" s="2"/>
      <c r="AI1" s="2"/>
      <c r="AJ1" s="2"/>
      <c r="AK1" s="2"/>
      <c r="AL1" s="2"/>
      <c r="AM1" s="2"/>
      <c r="AN1" s="2" t="s">
        <v>12</v>
      </c>
      <c r="AO1" s="2"/>
      <c r="AP1" s="2"/>
      <c r="AQ1" s="2" t="s">
        <v>11</v>
      </c>
      <c r="AR1" s="2"/>
      <c r="AS1" s="2"/>
      <c r="AT1" s="2"/>
      <c r="AU1" s="5" t="s">
        <v>35</v>
      </c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</row>
    <row r="2" spans="1:126" ht="15.75" thickBot="1" x14ac:dyDescent="0.3">
      <c r="A2" s="7" t="s">
        <v>0</v>
      </c>
      <c r="B2" s="8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1"/>
      <c r="H2" s="1"/>
      <c r="I2" s="1"/>
      <c r="J2" s="7">
        <v>1</v>
      </c>
      <c r="K2" s="8">
        <v>2</v>
      </c>
      <c r="L2" s="8">
        <v>3</v>
      </c>
      <c r="M2" s="8">
        <v>4</v>
      </c>
      <c r="N2" s="8">
        <v>5</v>
      </c>
      <c r="O2" s="8">
        <f>N2+1</f>
        <v>6</v>
      </c>
      <c r="P2" s="8">
        <f t="shared" ref="P2:X2" si="0">O2+1</f>
        <v>7</v>
      </c>
      <c r="Q2" s="8">
        <f t="shared" si="0"/>
        <v>8</v>
      </c>
      <c r="R2" s="8">
        <f t="shared" si="0"/>
        <v>9</v>
      </c>
      <c r="S2" s="8">
        <f t="shared" si="0"/>
        <v>10</v>
      </c>
      <c r="T2" s="8">
        <f t="shared" si="0"/>
        <v>11</v>
      </c>
      <c r="U2" s="8">
        <f t="shared" si="0"/>
        <v>12</v>
      </c>
      <c r="V2" s="8">
        <f t="shared" si="0"/>
        <v>13</v>
      </c>
      <c r="W2" s="8">
        <f t="shared" si="0"/>
        <v>14</v>
      </c>
      <c r="X2" s="14">
        <f t="shared" si="0"/>
        <v>15</v>
      </c>
      <c r="Y2" s="2"/>
      <c r="Z2" s="5"/>
      <c r="AA2" s="2"/>
      <c r="AB2" s="2"/>
      <c r="AC2" s="2">
        <v>15</v>
      </c>
      <c r="AD2" s="2" t="s">
        <v>15</v>
      </c>
      <c r="AE2" s="2" t="s">
        <v>16</v>
      </c>
      <c r="AF2" s="3" t="s">
        <v>2</v>
      </c>
      <c r="AG2" s="3" t="s">
        <v>3</v>
      </c>
      <c r="AH2" s="3" t="s">
        <v>4</v>
      </c>
      <c r="AI2" s="3" t="s">
        <v>5</v>
      </c>
      <c r="AJ2" s="2" t="s">
        <v>18</v>
      </c>
      <c r="AK2" s="2"/>
      <c r="AL2" s="2"/>
      <c r="AM2" s="2" t="s">
        <v>13</v>
      </c>
      <c r="AN2" s="2">
        <f>MAX(AE3:AE17)</f>
        <v>5</v>
      </c>
      <c r="AO2" s="2"/>
      <c r="AP2" s="2"/>
      <c r="AQ2" s="2">
        <f>SUM(AA3:AA52)+SUM(AJ3:AL15)</f>
        <v>641.57008905372459</v>
      </c>
      <c r="AR2" s="2"/>
      <c r="AS2" s="2"/>
      <c r="AT2" s="2"/>
      <c r="AU2" s="6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</row>
    <row r="3" spans="1:126" ht="16.5" thickTop="1" thickBot="1" x14ac:dyDescent="0.3">
      <c r="A3" s="25" t="s">
        <v>37</v>
      </c>
      <c r="B3" s="26" t="s">
        <v>38</v>
      </c>
      <c r="C3" s="27">
        <v>5</v>
      </c>
      <c r="D3" s="27">
        <v>4</v>
      </c>
      <c r="E3" s="27">
        <v>5</v>
      </c>
      <c r="F3" s="28">
        <v>4</v>
      </c>
      <c r="G3" s="29"/>
      <c r="H3" s="29"/>
      <c r="I3" s="26"/>
      <c r="J3" s="27">
        <v>15</v>
      </c>
      <c r="K3" s="27">
        <v>13</v>
      </c>
      <c r="L3" s="27">
        <v>10</v>
      </c>
      <c r="M3" s="27">
        <v>7</v>
      </c>
      <c r="N3" s="27">
        <v>14</v>
      </c>
      <c r="O3" s="27">
        <v>6</v>
      </c>
      <c r="P3" s="27">
        <v>5</v>
      </c>
      <c r="Q3" s="27">
        <v>1</v>
      </c>
      <c r="R3" s="27">
        <v>12</v>
      </c>
      <c r="S3" s="27">
        <v>8</v>
      </c>
      <c r="T3" s="27">
        <v>4</v>
      </c>
      <c r="U3" s="27">
        <v>3</v>
      </c>
      <c r="V3" s="27">
        <v>2</v>
      </c>
      <c r="W3" s="27">
        <v>9</v>
      </c>
      <c r="X3" s="28">
        <v>11</v>
      </c>
      <c r="Y3" s="2"/>
      <c r="Z3" s="13">
        <v>13</v>
      </c>
      <c r="AA3" s="2">
        <f>(_xlfn.IFNA(MATCH(Z3,J3:X3,0)-1,15-COUNTBLANK(J3:X3))^2)*SQRT(AU3)</f>
        <v>2.2360679774997898</v>
      </c>
      <c r="AB3" s="13">
        <f>_xlfn.IFNA(MATCH(Z3,J3:X3,0)-1,15-COUNTBLANK(J3:X3))+1</f>
        <v>2</v>
      </c>
      <c r="AC3" s="2"/>
      <c r="AD3" s="2">
        <v>1</v>
      </c>
      <c r="AE3" s="2">
        <f>IF(SUMIF(Z$3:Z$55,AD3,AU$3:AU$55)=0,"",SUMIF(Z$3:Z$55,AD3,AU$3:AU$55))</f>
        <v>5</v>
      </c>
      <c r="AF3" s="2">
        <f t="array" ref="AF3">IF($AE3&lt;&gt;"",((5-MAX(IF($Z$3:$Z$53=$AD3,C$3:C$53,"")))*2)^2,"")</f>
        <v>0</v>
      </c>
      <c r="AG3" s="2">
        <f t="array" ref="AG3">IF($AE3&lt;&gt;"",((5-MAX(IF($Z$3:$Z$53=$AD3,D$3:D$53,"")))*2)^2,"")</f>
        <v>0</v>
      </c>
      <c r="AH3" s="2">
        <f t="array" ref="AH3">IF($AE3&lt;&gt;"",((5-MAX(IF($Z$3:$Z$53=$AD3,E$3:E$53,"")))*2)^2,"")</f>
        <v>4</v>
      </c>
      <c r="AI3" s="2">
        <f t="array" ref="AI3">IF($AE3&lt;&gt;"",((5-MAX(IF($Z$3:$Z$53=$AD3,F$3:F$53,"")))*2)^2,"")</f>
        <v>4</v>
      </c>
      <c r="AJ3" s="2">
        <f>SUM(AF3:AI3)</f>
        <v>8</v>
      </c>
      <c r="AK3" s="2"/>
      <c r="AL3" s="2"/>
      <c r="AM3" s="2" t="s">
        <v>14</v>
      </c>
      <c r="AN3" s="2">
        <f>MIN(AE3:AE17)</f>
        <v>4</v>
      </c>
      <c r="AO3" s="2"/>
      <c r="AP3" s="2"/>
      <c r="AQ3" s="2"/>
      <c r="AR3" s="2"/>
      <c r="AS3" s="2"/>
      <c r="AT3" s="2"/>
      <c r="AU3" s="49">
        <v>5</v>
      </c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</row>
    <row r="4" spans="1:126" ht="15.75" thickBot="1" x14ac:dyDescent="0.3">
      <c r="A4" s="30" t="s">
        <v>93</v>
      </c>
      <c r="B4" s="31" t="s">
        <v>94</v>
      </c>
      <c r="C4" s="32">
        <v>5</v>
      </c>
      <c r="D4" s="32">
        <v>5</v>
      </c>
      <c r="E4" s="32">
        <v>4</v>
      </c>
      <c r="F4" s="33">
        <v>4</v>
      </c>
      <c r="G4" s="34"/>
      <c r="H4" s="34"/>
      <c r="I4" s="31"/>
      <c r="J4" s="32">
        <v>10</v>
      </c>
      <c r="K4" s="32">
        <v>6</v>
      </c>
      <c r="L4" s="35">
        <v>8</v>
      </c>
      <c r="M4" s="36">
        <v>5</v>
      </c>
      <c r="N4" s="32">
        <v>12</v>
      </c>
      <c r="O4" s="35">
        <v>1</v>
      </c>
      <c r="P4" s="35">
        <v>14</v>
      </c>
      <c r="Q4" s="36">
        <v>9</v>
      </c>
      <c r="R4" s="32">
        <v>2</v>
      </c>
      <c r="S4" s="35">
        <v>3</v>
      </c>
      <c r="T4" s="35">
        <v>13</v>
      </c>
      <c r="U4" s="35">
        <v>7</v>
      </c>
      <c r="V4" s="36">
        <v>15</v>
      </c>
      <c r="W4" s="32">
        <v>4</v>
      </c>
      <c r="X4" s="32">
        <v>11</v>
      </c>
      <c r="Y4" s="2"/>
      <c r="Z4" s="13">
        <v>6</v>
      </c>
      <c r="AA4" s="2">
        <f t="shared" ref="AA4:AA10" si="1">(_xlfn.IFNA(MATCH(Z4,J4:X4,0)-1,15-COUNTBLANK(J4:X4))^2)*SQRT(AU4)</f>
        <v>2.2360679774997898</v>
      </c>
      <c r="AB4" s="13">
        <f t="shared" ref="AB4:AB8" si="2">_xlfn.IFNA(MATCH(Z4,J4:X4,0)-1,15-COUNTBLANK(J4:X4))+1</f>
        <v>2</v>
      </c>
      <c r="AC4" s="2"/>
      <c r="AD4" s="2">
        <v>2</v>
      </c>
      <c r="AE4" s="2">
        <f t="array" ref="AE4">IF(SUMIF(Z$3:Z$55,AD4,AU$3:AU$55)=0,"",SUMIF(Z$3:Z$55,AD4,AU$3:AU$55))</f>
        <v>4</v>
      </c>
      <c r="AF4" s="2">
        <f t="array" ref="AF4">IF($AE4&lt;&gt;"",((5-MAX(IF($Z$3:$Z$53=$AD4,C$3:C$53,"")))*2)^2,"")</f>
        <v>0</v>
      </c>
      <c r="AG4" s="2">
        <f t="array" ref="AG4">IF($AE4&lt;&gt;"",((5-MAX(IF($Z$3:$Z$53=$AD4,D$3:D$53,"")))*2)^2,"")</f>
        <v>0</v>
      </c>
      <c r="AH4" s="2">
        <f t="array" ref="AH4">IF($AE4&lt;&gt;"",((5-MAX(IF($Z$3:$Z$53=$AD4,E$3:E$53,"")))*2)^2,"")</f>
        <v>0</v>
      </c>
      <c r="AI4" s="2">
        <f t="array" ref="AI4">IF($AE4&lt;&gt;"",((5-MAX(IF($Z$3:$Z$53=$AD4,F$3:F$53,"")))*2)^2,"")</f>
        <v>0</v>
      </c>
      <c r="AJ4" s="2">
        <f t="shared" ref="AJ4:AJ17" si="3">SUM(AF4:AI4)</f>
        <v>0</v>
      </c>
      <c r="AK4" s="2"/>
      <c r="AL4" s="2"/>
      <c r="AM4" s="2"/>
      <c r="AN4" s="2"/>
      <c r="AO4" s="2"/>
      <c r="AP4" s="2"/>
      <c r="AQ4" s="2"/>
      <c r="AR4" s="2"/>
      <c r="AS4" s="2"/>
      <c r="AT4" s="2"/>
      <c r="AU4" s="50">
        <v>5</v>
      </c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</row>
    <row r="5" spans="1:126" ht="15.75" thickBot="1" x14ac:dyDescent="0.3">
      <c r="A5" s="37" t="s">
        <v>39</v>
      </c>
      <c r="B5" s="31" t="s">
        <v>40</v>
      </c>
      <c r="C5" s="32">
        <v>4</v>
      </c>
      <c r="D5" s="32">
        <v>4</v>
      </c>
      <c r="E5" s="32">
        <v>3</v>
      </c>
      <c r="F5" s="33">
        <v>4</v>
      </c>
      <c r="G5" s="34"/>
      <c r="H5" s="34"/>
      <c r="I5" s="31"/>
      <c r="J5" s="32">
        <v>13</v>
      </c>
      <c r="K5" s="32">
        <v>10</v>
      </c>
      <c r="L5" s="32">
        <v>2</v>
      </c>
      <c r="M5" s="32">
        <v>14</v>
      </c>
      <c r="N5" s="32">
        <v>3</v>
      </c>
      <c r="O5" s="32">
        <v>8</v>
      </c>
      <c r="P5" s="32">
        <v>1</v>
      </c>
      <c r="Q5" s="32">
        <v>6</v>
      </c>
      <c r="R5" s="32">
        <v>7</v>
      </c>
      <c r="S5" s="32">
        <v>9</v>
      </c>
      <c r="T5" s="32">
        <v>15</v>
      </c>
      <c r="U5" s="32">
        <v>12</v>
      </c>
      <c r="V5" s="32">
        <v>11</v>
      </c>
      <c r="W5" s="32">
        <v>5</v>
      </c>
      <c r="X5" s="33">
        <v>4</v>
      </c>
      <c r="Y5" s="2"/>
      <c r="Z5" s="13">
        <v>10</v>
      </c>
      <c r="AA5" s="2">
        <f t="shared" si="1"/>
        <v>2.2360679774997898</v>
      </c>
      <c r="AB5" s="13">
        <f t="shared" si="2"/>
        <v>2</v>
      </c>
      <c r="AC5" s="2"/>
      <c r="AD5" s="2">
        <v>3</v>
      </c>
      <c r="AE5" s="2">
        <f>IF(SUMIF(Z$3:Z$55,AD5,AU$3:AU$55)=0,"",SUMIF(Z$3:Z$55,AD5,AU$3:AU$55))</f>
        <v>5</v>
      </c>
      <c r="AF5" s="2">
        <f t="array" ref="AF5">IF($AE5&lt;&gt;"",((5-MAX(IF($Z$3:$Z$53=$AD5,C$3:C$53,"")))*2)^2,"")</f>
        <v>0</v>
      </c>
      <c r="AG5" s="2">
        <f t="array" ref="AG5">IF($AE5&lt;&gt;"",((5-MAX(IF($Z$3:$Z$53=$AD5,D$3:D$53,"")))*2)^2,"")</f>
        <v>0</v>
      </c>
      <c r="AH5" s="2">
        <f t="array" ref="AH5">IF($AE5&lt;&gt;"",((5-MAX(IF($Z$3:$Z$53=$AD5,E$3:E$53,"")))*2)^2,"")</f>
        <v>4</v>
      </c>
      <c r="AI5" s="2">
        <f t="array" ref="AI5">IF($AE5&lt;&gt;"",((5-MAX(IF($Z$3:$Z$53=$AD5,F$3:F$53,"")))*2)^2,"")</f>
        <v>4</v>
      </c>
      <c r="AJ5" s="2">
        <f t="shared" si="3"/>
        <v>8</v>
      </c>
      <c r="AK5" s="2"/>
      <c r="AL5" s="2"/>
      <c r="AM5" s="2"/>
      <c r="AN5" s="2"/>
      <c r="AO5" s="2"/>
      <c r="AP5" s="2"/>
      <c r="AQ5" s="2"/>
      <c r="AR5" s="2"/>
      <c r="AS5" s="2"/>
      <c r="AT5" s="2"/>
      <c r="AU5" s="50">
        <v>5</v>
      </c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</row>
    <row r="6" spans="1:126" ht="15.75" thickBot="1" x14ac:dyDescent="0.3">
      <c r="A6" s="30" t="s">
        <v>41</v>
      </c>
      <c r="B6" s="31" t="s">
        <v>42</v>
      </c>
      <c r="C6" s="32">
        <v>4</v>
      </c>
      <c r="D6" s="32">
        <v>2</v>
      </c>
      <c r="E6" s="32">
        <v>3</v>
      </c>
      <c r="F6" s="33">
        <v>3</v>
      </c>
      <c r="G6" s="34"/>
      <c r="H6" s="34"/>
      <c r="I6" s="31"/>
      <c r="J6" s="32">
        <v>10</v>
      </c>
      <c r="K6" s="32">
        <v>4</v>
      </c>
      <c r="L6" s="32">
        <v>1</v>
      </c>
      <c r="M6" s="32">
        <v>9</v>
      </c>
      <c r="N6" s="32">
        <v>12</v>
      </c>
      <c r="O6" s="32">
        <v>2</v>
      </c>
      <c r="P6" s="32">
        <v>5</v>
      </c>
      <c r="Q6" s="32">
        <v>6</v>
      </c>
      <c r="R6" s="32">
        <v>11</v>
      </c>
      <c r="S6" s="32">
        <v>3</v>
      </c>
      <c r="T6" s="32">
        <v>15</v>
      </c>
      <c r="U6" s="32">
        <v>7</v>
      </c>
      <c r="V6" s="32">
        <v>13</v>
      </c>
      <c r="W6" s="32">
        <v>14</v>
      </c>
      <c r="X6" s="33">
        <v>8</v>
      </c>
      <c r="Y6" s="2"/>
      <c r="Z6" s="13">
        <v>12</v>
      </c>
      <c r="AA6" s="2">
        <f t="shared" si="1"/>
        <v>16</v>
      </c>
      <c r="AB6" s="13">
        <f t="shared" si="2"/>
        <v>5</v>
      </c>
      <c r="AC6" s="2"/>
      <c r="AD6" s="2">
        <v>4</v>
      </c>
      <c r="AE6" s="2">
        <f>IF(SUMIF(Z$3:Z$55,AD6,AU$3:AU$55)=0,"",SUMIF(Z$3:Z$55,AD6,AU$3:AU$55))</f>
        <v>5</v>
      </c>
      <c r="AF6" s="2">
        <f t="array" ref="AF6">IF($AE6&lt;&gt;"",((5-MAX(IF($Z$3:$Z$53=$AD6,C$3:C$53,"")))*2)^2,"")</f>
        <v>0</v>
      </c>
      <c r="AG6" s="2">
        <f t="array" ref="AG6">IF($AE6&lt;&gt;"",((5-MAX(IF($Z$3:$Z$53=$AD6,D$3:D$53,"")))*2)^2,"")</f>
        <v>4</v>
      </c>
      <c r="AH6" s="2">
        <f t="array" ref="AH6">IF($AE6&lt;&gt;"",((5-MAX(IF($Z$3:$Z$53=$AD6,E$3:E$53,"")))*2)^2,"")</f>
        <v>0</v>
      </c>
      <c r="AI6" s="2">
        <f t="array" ref="AI6">IF($AE6&lt;&gt;"",((5-MAX(IF($Z$3:$Z$53=$AD6,F$3:F$53,"")))*2)^2,"")</f>
        <v>4</v>
      </c>
      <c r="AJ6" s="2">
        <f t="shared" si="3"/>
        <v>8</v>
      </c>
      <c r="AK6" s="2"/>
      <c r="AL6" s="2"/>
      <c r="AM6" s="2"/>
      <c r="AN6" s="2"/>
      <c r="AO6" s="2"/>
      <c r="AP6" s="2"/>
      <c r="AQ6" s="2"/>
      <c r="AR6" s="2"/>
      <c r="AS6" s="2"/>
      <c r="AT6" s="2"/>
      <c r="AU6" s="50">
        <v>1</v>
      </c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</row>
    <row r="7" spans="1:126" ht="15.75" thickBot="1" x14ac:dyDescent="0.3">
      <c r="A7" s="30" t="s">
        <v>80</v>
      </c>
      <c r="B7" s="31" t="s">
        <v>81</v>
      </c>
      <c r="C7" s="32">
        <v>5</v>
      </c>
      <c r="D7" s="32">
        <v>5</v>
      </c>
      <c r="E7" s="32">
        <v>4</v>
      </c>
      <c r="F7" s="33">
        <v>4</v>
      </c>
      <c r="G7" s="34"/>
      <c r="H7" s="34"/>
      <c r="I7" s="31"/>
      <c r="J7" s="32">
        <v>13</v>
      </c>
      <c r="K7" s="32">
        <v>7</v>
      </c>
      <c r="L7" s="32">
        <v>6</v>
      </c>
      <c r="M7" s="32">
        <v>3</v>
      </c>
      <c r="N7" s="32">
        <v>2</v>
      </c>
      <c r="O7" s="32">
        <v>10</v>
      </c>
      <c r="P7" s="32">
        <v>8</v>
      </c>
      <c r="Q7" s="32">
        <v>1</v>
      </c>
      <c r="R7" s="32">
        <v>15</v>
      </c>
      <c r="S7" s="32">
        <v>14</v>
      </c>
      <c r="T7" s="32">
        <v>9</v>
      </c>
      <c r="U7" s="32">
        <v>5</v>
      </c>
      <c r="V7" s="32">
        <v>4</v>
      </c>
      <c r="W7" s="32">
        <v>11</v>
      </c>
      <c r="X7" s="33">
        <v>12</v>
      </c>
      <c r="Y7" s="2"/>
      <c r="Z7" s="13">
        <v>8</v>
      </c>
      <c r="AA7" s="2">
        <f t="shared" si="1"/>
        <v>50.911688245431428</v>
      </c>
      <c r="AB7" s="13">
        <f t="shared" si="2"/>
        <v>7</v>
      </c>
      <c r="AC7" s="2"/>
      <c r="AD7" s="2">
        <v>5</v>
      </c>
      <c r="AE7" s="2">
        <f>IF(SUMIF(Z$3:Z$55,AD7,AU$3:AU$55)=0,"",SUMIF(Z$3:Z$55,AD7,AU$3:AU$55))</f>
        <v>4</v>
      </c>
      <c r="AF7" s="2">
        <f t="array" ref="AF7">IF($AE7&lt;&gt;"",((5-MAX(IF($Z$3:$Z$53=$AD7,C$3:C$53,"")))*2)^2,"")</f>
        <v>16</v>
      </c>
      <c r="AG7" s="2">
        <f t="array" ref="AG7">IF($AE7&lt;&gt;"",((5-MAX(IF($Z$3:$Z$53=$AD7,D$3:D$53,"")))*2)^2,"")</f>
        <v>4</v>
      </c>
      <c r="AH7" s="2">
        <f t="array" ref="AH7">IF($AE7&lt;&gt;"",((5-MAX(IF($Z$3:$Z$53=$AD7,E$3:E$53,"")))*2)^2,"")</f>
        <v>4</v>
      </c>
      <c r="AI7" s="2">
        <f t="array" ref="AI7">IF($AE7&lt;&gt;"",((5-MAX(IF($Z$3:$Z$53=$AD7,F$3:F$53,"")))*2)^2,"")</f>
        <v>4</v>
      </c>
      <c r="AJ7" s="2">
        <f t="shared" si="3"/>
        <v>28</v>
      </c>
      <c r="AK7" s="2"/>
      <c r="AL7" s="2"/>
      <c r="AM7" s="2"/>
      <c r="AN7" s="2"/>
      <c r="AO7" s="2"/>
      <c r="AP7" s="2"/>
      <c r="AQ7" s="2"/>
      <c r="AR7" s="2"/>
      <c r="AS7" s="2"/>
      <c r="AT7" s="2"/>
      <c r="AU7" s="50">
        <v>2</v>
      </c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</row>
    <row r="8" spans="1:126" ht="15.75" thickBot="1" x14ac:dyDescent="0.3">
      <c r="A8" s="30" t="s">
        <v>88</v>
      </c>
      <c r="B8" s="31" t="s">
        <v>89</v>
      </c>
      <c r="C8" s="32">
        <v>5</v>
      </c>
      <c r="D8" s="32">
        <v>5</v>
      </c>
      <c r="E8" s="32">
        <v>4</v>
      </c>
      <c r="F8" s="33">
        <v>4</v>
      </c>
      <c r="G8" s="32">
        <v>7</v>
      </c>
      <c r="H8" s="34"/>
      <c r="I8" s="31"/>
      <c r="J8" s="32">
        <v>7</v>
      </c>
      <c r="K8" s="32">
        <v>13</v>
      </c>
      <c r="L8" s="32">
        <v>14</v>
      </c>
      <c r="M8" s="32">
        <v>10</v>
      </c>
      <c r="N8" s="32">
        <v>2</v>
      </c>
      <c r="O8" s="32">
        <v>1</v>
      </c>
      <c r="P8" s="32">
        <v>5</v>
      </c>
      <c r="Q8" s="32">
        <v>15</v>
      </c>
      <c r="R8" s="32">
        <v>6</v>
      </c>
      <c r="S8" s="32">
        <v>3</v>
      </c>
      <c r="T8" s="32">
        <v>9</v>
      </c>
      <c r="U8" s="36">
        <v>8</v>
      </c>
      <c r="V8" s="32">
        <v>4</v>
      </c>
      <c r="W8" s="32">
        <v>12</v>
      </c>
      <c r="X8" s="32">
        <v>11</v>
      </c>
      <c r="Y8" s="2"/>
      <c r="Z8" s="13">
        <v>1</v>
      </c>
      <c r="AA8" s="2">
        <f t="shared" si="1"/>
        <v>55.901699437494742</v>
      </c>
      <c r="AB8" s="13">
        <f t="shared" si="2"/>
        <v>6</v>
      </c>
      <c r="AC8" s="2"/>
      <c r="AD8" s="2">
        <v>6</v>
      </c>
      <c r="AE8" s="2">
        <f>IF(SUMIF(Z$3:Z$55,AD8,AU$3:AU$55)=0,"",SUMIF(Z$3:Z$55,AD8,AU$3:AU$55))</f>
        <v>5</v>
      </c>
      <c r="AF8" s="2">
        <f t="array" ref="AF8">IF($AE8&lt;&gt;"",((5-MAX(IF($Z$3:$Z$53=$AD8,C$3:C$53,"")))*2)^2,"")</f>
        <v>0</v>
      </c>
      <c r="AG8" s="2">
        <f t="array" ref="AG8">IF($AE8&lt;&gt;"",((5-MAX(IF($Z$3:$Z$53=$AD8,D$3:D$53,"")))*2)^2,"")</f>
        <v>0</v>
      </c>
      <c r="AH8" s="2">
        <f t="array" ref="AH8">IF($AE8&lt;&gt;"",((5-MAX(IF($Z$3:$Z$53=$AD8,E$3:E$53,"")))*2)^2,"")</f>
        <v>4</v>
      </c>
      <c r="AI8" s="2">
        <f t="array" ref="AI8">IF($AE8&lt;&gt;"",((5-MAX(IF($Z$3:$Z$53=$AD8,F$3:F$53,"")))*2)^2,"")</f>
        <v>4</v>
      </c>
      <c r="AJ8" s="2">
        <f t="shared" si="3"/>
        <v>8</v>
      </c>
      <c r="AK8" s="2"/>
      <c r="AL8" s="2"/>
      <c r="AM8" s="2"/>
      <c r="AN8" s="2"/>
      <c r="AO8" s="2"/>
      <c r="AP8" s="2"/>
      <c r="AQ8" s="2"/>
      <c r="AR8" s="2"/>
      <c r="AS8" s="2"/>
      <c r="AT8" s="2"/>
      <c r="AU8" s="50">
        <v>5</v>
      </c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</row>
    <row r="9" spans="1:126" ht="15.75" thickBot="1" x14ac:dyDescent="0.3">
      <c r="A9" s="30" t="s">
        <v>43</v>
      </c>
      <c r="B9" s="31" t="s">
        <v>44</v>
      </c>
      <c r="C9" s="32">
        <v>5</v>
      </c>
      <c r="D9" s="32">
        <v>4</v>
      </c>
      <c r="E9" s="32">
        <v>5</v>
      </c>
      <c r="F9" s="33">
        <v>4</v>
      </c>
      <c r="G9" s="32">
        <v>13</v>
      </c>
      <c r="H9" s="34"/>
      <c r="I9" s="31"/>
      <c r="J9" s="32">
        <v>13</v>
      </c>
      <c r="K9" s="32">
        <v>14</v>
      </c>
      <c r="L9" s="32">
        <v>15</v>
      </c>
      <c r="M9" s="36">
        <v>10</v>
      </c>
      <c r="N9" s="34"/>
      <c r="O9" s="34"/>
      <c r="P9" s="34"/>
      <c r="Q9" s="34"/>
      <c r="R9" s="34"/>
      <c r="S9" s="34"/>
      <c r="T9" s="34"/>
      <c r="U9" s="34"/>
      <c r="V9" s="34"/>
      <c r="W9" s="32">
        <v>12</v>
      </c>
      <c r="X9" s="33">
        <v>11</v>
      </c>
      <c r="Y9" s="2"/>
      <c r="Z9" s="13">
        <v>4</v>
      </c>
      <c r="AA9" s="2">
        <f t="shared" si="1"/>
        <v>80.498447189992433</v>
      </c>
      <c r="AB9" s="13">
        <v>5</v>
      </c>
      <c r="AC9" s="2"/>
      <c r="AD9" s="2">
        <v>7</v>
      </c>
      <c r="AE9" s="2">
        <f>IF(SUMIF(Z$3:Z$55,AD9,AU$3:AU$55)=0,"",SUMIF(Z$3:Z$55,AD9,AU$3:AU$55))</f>
        <v>4</v>
      </c>
      <c r="AF9" s="2">
        <f t="array" ref="AF9">IF($AE9&lt;&gt;"",((5-MAX(IF($Z$3:$Z$53=$AD9,C$3:C$53,"")))*2)^2,"")</f>
        <v>4</v>
      </c>
      <c r="AG9" s="2">
        <f t="array" ref="AG9">IF($AE9&lt;&gt;"",((5-MAX(IF($Z$3:$Z$53=$AD9,D$3:D$53,"")))*2)^2,"")</f>
        <v>0</v>
      </c>
      <c r="AH9" s="2">
        <f t="array" ref="AH9">IF($AE9&lt;&gt;"",((5-MAX(IF($Z$3:$Z$53=$AD9,E$3:E$53,"")))*2)^2,"")</f>
        <v>4</v>
      </c>
      <c r="AI9" s="2">
        <f t="array" ref="AI9">IF($AE9&lt;&gt;"",((5-MAX(IF($Z$3:$Z$53=$AD9,F$3:F$53,"")))*2)^2,"")</f>
        <v>4</v>
      </c>
      <c r="AJ9" s="2">
        <f t="shared" si="3"/>
        <v>12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50">
        <v>5</v>
      </c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</row>
    <row r="10" spans="1:126" ht="15.75" thickBot="1" x14ac:dyDescent="0.3">
      <c r="A10" s="30" t="s">
        <v>82</v>
      </c>
      <c r="B10" s="31" t="s">
        <v>83</v>
      </c>
      <c r="C10" s="32">
        <v>4</v>
      </c>
      <c r="D10" s="32">
        <v>4</v>
      </c>
      <c r="E10" s="32">
        <v>4</v>
      </c>
      <c r="F10" s="33">
        <v>5</v>
      </c>
      <c r="G10" s="34"/>
      <c r="H10" s="34"/>
      <c r="I10" s="38"/>
      <c r="J10" s="39">
        <v>6</v>
      </c>
      <c r="K10" s="40">
        <v>10</v>
      </c>
      <c r="L10" s="39">
        <v>15</v>
      </c>
      <c r="M10" s="39">
        <v>5</v>
      </c>
      <c r="N10" s="39">
        <v>3</v>
      </c>
      <c r="O10" s="39">
        <v>9</v>
      </c>
      <c r="P10" s="39">
        <v>14</v>
      </c>
      <c r="Q10" s="39">
        <v>4</v>
      </c>
      <c r="R10" s="39">
        <v>1</v>
      </c>
      <c r="S10" s="39">
        <v>13</v>
      </c>
      <c r="T10" s="39">
        <v>8</v>
      </c>
      <c r="U10" s="39">
        <v>12</v>
      </c>
      <c r="V10" s="39">
        <v>7</v>
      </c>
      <c r="W10" s="39">
        <v>2</v>
      </c>
      <c r="X10" s="39">
        <v>11</v>
      </c>
      <c r="Y10" s="2"/>
      <c r="Z10" s="13">
        <v>9</v>
      </c>
      <c r="AA10" s="2">
        <f t="shared" si="1"/>
        <v>55.901699437494742</v>
      </c>
      <c r="AB10" s="13">
        <f t="shared" ref="AB10" si="4">_xlfn.IFNA(MATCH(Z10,J10:X10,0)-1,15-COUNTBLANK(J10:X10))+1</f>
        <v>6</v>
      </c>
      <c r="AC10" s="2"/>
      <c r="AD10" s="2">
        <v>8</v>
      </c>
      <c r="AE10" s="2">
        <f t="shared" ref="AE10:AE12" si="5">IF(SUMIF(Z$3:Z$55,AD10,AU$3:AU$55)=0,"",SUMIF(Z$3:Z$55,AD10,AU$3:AU$55))</f>
        <v>4</v>
      </c>
      <c r="AF10" s="2">
        <f t="array" ref="AF10">IF($AE10&lt;&gt;"",((5-MAX(IF($Z$3:$Z$53=$AD10,C$3:C$53,"")))*2)^2,"")</f>
        <v>0</v>
      </c>
      <c r="AG10" s="2">
        <f t="array" ref="AG10">IF($AE10&lt;&gt;"",((5-MAX(IF($Z$3:$Z$53=$AD10,D$3:D$53,"")))*2)^2,"")</f>
        <v>0</v>
      </c>
      <c r="AH10" s="2">
        <f t="array" ref="AH10">IF($AE10&lt;&gt;"",((5-MAX(IF($Z$3:$Z$53=$AD10,E$3:E$53,"")))*2)^2,"")</f>
        <v>4</v>
      </c>
      <c r="AI10" s="2">
        <f t="array" ref="AI10">IF($AE10&lt;&gt;"",((5-MAX(IF($Z$3:$Z$53=$AD10,F$3:F$53,"")))*2)^2,"")</f>
        <v>4</v>
      </c>
      <c r="AJ10" s="2">
        <f t="shared" si="3"/>
        <v>8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50">
        <v>5</v>
      </c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</row>
    <row r="11" spans="1:126" ht="15.75" thickBot="1" x14ac:dyDescent="0.3">
      <c r="A11" s="30" t="s">
        <v>45</v>
      </c>
      <c r="B11" s="31" t="s">
        <v>46</v>
      </c>
      <c r="C11" s="32">
        <v>3</v>
      </c>
      <c r="D11" s="32">
        <v>2</v>
      </c>
      <c r="E11" s="32">
        <v>5</v>
      </c>
      <c r="F11" s="33">
        <v>4</v>
      </c>
      <c r="G11" s="34"/>
      <c r="H11" s="34"/>
      <c r="I11" s="31"/>
      <c r="J11" s="34"/>
      <c r="K11" s="32">
        <v>8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1"/>
      <c r="Y11" s="2"/>
      <c r="Z11" s="13">
        <v>11</v>
      </c>
      <c r="AA11" s="2">
        <f t="shared" ref="AA11:AA31" si="6">(_xlfn.IFNA(MATCH(Z11,J11:X11,0)-1,15-COUNTBLANK(J11:X11))^2)*SQRT(AU11)</f>
        <v>1</v>
      </c>
      <c r="AB11" s="13">
        <f t="shared" ref="AB11:AB31" si="7">_xlfn.IFNA(MATCH(Z11,J11:X11,0)-1,15-COUNTBLANK(J11:X11))+1</f>
        <v>2</v>
      </c>
      <c r="AC11" s="2"/>
      <c r="AD11" s="2">
        <v>9</v>
      </c>
      <c r="AE11" s="2">
        <f t="shared" si="5"/>
        <v>5</v>
      </c>
      <c r="AF11" s="2">
        <f t="array" ref="AF11">IF($AE11&lt;&gt;"",((5-MAX(IF($Z$3:$Z$53=$AD11,C$3:C$53,"")))*2)^2,"")</f>
        <v>4</v>
      </c>
      <c r="AG11" s="2">
        <f t="array" ref="AG11">IF($AE11&lt;&gt;"",((5-MAX(IF($Z$3:$Z$53=$AD11,D$3:D$53,"")))*2)^2,"")</f>
        <v>4</v>
      </c>
      <c r="AH11" s="2">
        <f t="array" ref="AH11">IF($AE11&lt;&gt;"",((5-MAX(IF($Z$3:$Z$53=$AD11,E$3:E$53,"")))*2)^2,"")</f>
        <v>4</v>
      </c>
      <c r="AI11" s="2">
        <f t="array" ref="AI11">IF($AE11&lt;&gt;"",((5-MAX(IF($Z$3:$Z$53=$AD11,F$3:F$53,"")))*2)^2,"")</f>
        <v>0</v>
      </c>
      <c r="AJ11" s="2">
        <f t="shared" si="3"/>
        <v>12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50">
        <v>1</v>
      </c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</row>
    <row r="12" spans="1:126" ht="15.75" thickBot="1" x14ac:dyDescent="0.3">
      <c r="A12" s="41" t="s">
        <v>47</v>
      </c>
      <c r="B12" s="42" t="s">
        <v>48</v>
      </c>
      <c r="C12" s="32">
        <v>5</v>
      </c>
      <c r="D12" s="32">
        <v>5</v>
      </c>
      <c r="E12" s="32">
        <v>4</v>
      </c>
      <c r="F12" s="33">
        <v>4</v>
      </c>
      <c r="G12" s="34"/>
      <c r="H12" s="34"/>
      <c r="I12" s="31"/>
      <c r="J12" s="32">
        <v>7</v>
      </c>
      <c r="K12" s="32">
        <v>8</v>
      </c>
      <c r="L12" s="32">
        <v>14</v>
      </c>
      <c r="M12" s="32">
        <v>3</v>
      </c>
      <c r="N12" s="32">
        <v>6</v>
      </c>
      <c r="O12" s="32">
        <v>10</v>
      </c>
      <c r="P12" s="32">
        <v>13</v>
      </c>
      <c r="Q12" s="32">
        <v>5</v>
      </c>
      <c r="R12" s="32">
        <v>15</v>
      </c>
      <c r="S12" s="32">
        <v>1</v>
      </c>
      <c r="T12" s="32">
        <v>12</v>
      </c>
      <c r="U12" s="32">
        <v>2</v>
      </c>
      <c r="V12" s="32">
        <v>9</v>
      </c>
      <c r="W12" s="32">
        <v>4</v>
      </c>
      <c r="X12" s="33">
        <v>11</v>
      </c>
      <c r="Y12" s="2"/>
      <c r="Z12" s="13">
        <v>3</v>
      </c>
      <c r="AA12" s="2">
        <f t="shared" si="6"/>
        <v>20.124611797498108</v>
      </c>
      <c r="AB12" s="13">
        <f t="shared" si="7"/>
        <v>4</v>
      </c>
      <c r="AC12" s="2"/>
      <c r="AD12" s="2">
        <v>10</v>
      </c>
      <c r="AE12" s="2">
        <f t="shared" si="5"/>
        <v>5</v>
      </c>
      <c r="AF12" s="2">
        <f t="array" ref="AF12">IF($AE12&lt;&gt;"",((5-MAX(IF($Z$3:$Z$53=$AD12,C$3:C$53,"")))*2)^2,"")</f>
        <v>4</v>
      </c>
      <c r="AG12" s="2">
        <f t="array" ref="AG12">IF($AE12&lt;&gt;"",((5-MAX(IF($Z$3:$Z$53=$AD12,D$3:D$53,"")))*2)^2,"")</f>
        <v>4</v>
      </c>
      <c r="AH12" s="2">
        <f t="array" ref="AH12">IF($AE12&lt;&gt;"",((5-MAX(IF($Z$3:$Z$53=$AD12,E$3:E$53,"")))*2)^2,"")</f>
        <v>16</v>
      </c>
      <c r="AI12" s="2">
        <f t="array" ref="AI12">IF($AE12&lt;&gt;"",((5-MAX(IF($Z$3:$Z$53=$AD12,F$3:F$53,"")))*2)^2,"")</f>
        <v>4</v>
      </c>
      <c r="AJ12" s="2">
        <f t="shared" si="3"/>
        <v>28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50">
        <v>5</v>
      </c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</row>
    <row r="13" spans="1:126" ht="15.75" thickBot="1" x14ac:dyDescent="0.3">
      <c r="A13" s="30" t="s">
        <v>49</v>
      </c>
      <c r="B13" s="31" t="s">
        <v>50</v>
      </c>
      <c r="C13" s="32">
        <v>5</v>
      </c>
      <c r="D13" s="32">
        <v>3</v>
      </c>
      <c r="E13" s="32">
        <v>3</v>
      </c>
      <c r="F13" s="33">
        <v>4</v>
      </c>
      <c r="G13" s="34"/>
      <c r="H13" s="34"/>
      <c r="I13" s="31"/>
      <c r="J13" s="32">
        <v>2</v>
      </c>
      <c r="K13" s="32">
        <v>7</v>
      </c>
      <c r="L13" s="32">
        <v>4</v>
      </c>
      <c r="M13" s="32">
        <v>12</v>
      </c>
      <c r="N13" s="32">
        <v>13</v>
      </c>
      <c r="O13" s="32">
        <v>14</v>
      </c>
      <c r="P13" s="32">
        <v>5</v>
      </c>
      <c r="Q13" s="32">
        <v>6</v>
      </c>
      <c r="R13" s="32">
        <v>8</v>
      </c>
      <c r="S13" s="32">
        <v>10</v>
      </c>
      <c r="T13" s="32">
        <v>1</v>
      </c>
      <c r="U13" s="32">
        <v>3</v>
      </c>
      <c r="V13" s="32">
        <v>9</v>
      </c>
      <c r="W13" s="32">
        <v>15</v>
      </c>
      <c r="X13" s="33">
        <v>11</v>
      </c>
      <c r="Y13" s="2"/>
      <c r="Z13" s="13">
        <v>2</v>
      </c>
      <c r="AA13" s="2">
        <f t="shared" si="6"/>
        <v>0</v>
      </c>
      <c r="AB13" s="13">
        <f t="shared" si="7"/>
        <v>1</v>
      </c>
      <c r="AC13" s="2"/>
      <c r="AD13" s="2">
        <v>11</v>
      </c>
      <c r="AE13" s="2">
        <f>IF(SUMIF(Z$3:Z$55,AD13,AU$3:AU$55)=0,"",SUMIF(Z$3:Z$55,AD13,AU$3:AU$55))</f>
        <v>4</v>
      </c>
      <c r="AF13" s="2">
        <f t="array" ref="AF13">IF($AE13&lt;&gt;"",((5-MAX(IF($Z$3:$Z$53=$AD13,C$3:C$53,"")))*2)^2,"")</f>
        <v>0</v>
      </c>
      <c r="AG13" s="2">
        <f t="array" ref="AG13">IF($AE13&lt;&gt;"",((5-MAX(IF($Z$3:$Z$53=$AD13,D$3:D$53,"")))*2)^2,"")</f>
        <v>4</v>
      </c>
      <c r="AH13" s="2">
        <f t="array" ref="AH13">IF($AE13&lt;&gt;"",((5-MAX(IF($Z$3:$Z$53=$AD13,E$3:E$53,"")))*2)^2,"")</f>
        <v>0</v>
      </c>
      <c r="AI13" s="2">
        <f t="array" ref="AI13">IF($AE13&lt;&gt;"",((5-MAX(IF($Z$3:$Z$53=$AD13,F$3:F$53,"")))*2)^2,"")</f>
        <v>4</v>
      </c>
      <c r="AJ13" s="2">
        <f t="shared" si="3"/>
        <v>8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50">
        <v>1</v>
      </c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</row>
    <row r="14" spans="1:126" ht="15.75" thickBot="1" x14ac:dyDescent="0.3">
      <c r="A14" s="30" t="s">
        <v>51</v>
      </c>
      <c r="B14" s="31" t="s">
        <v>52</v>
      </c>
      <c r="C14" s="32">
        <v>5</v>
      </c>
      <c r="D14" s="32">
        <v>3</v>
      </c>
      <c r="E14" s="32">
        <v>4</v>
      </c>
      <c r="F14" s="33">
        <v>4</v>
      </c>
      <c r="G14" s="34"/>
      <c r="H14" s="34"/>
      <c r="I14" s="31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3"/>
      <c r="Y14" s="2"/>
      <c r="Z14" s="13">
        <v>11</v>
      </c>
      <c r="AA14" s="2">
        <f t="shared" si="6"/>
        <v>0</v>
      </c>
      <c r="AB14" s="13">
        <f t="shared" si="7"/>
        <v>1</v>
      </c>
      <c r="AC14" s="2"/>
      <c r="AD14" s="2">
        <v>12</v>
      </c>
      <c r="AE14" s="2">
        <f>IF(SUMIF(Z$3:Z$55,AD14,AU$3:AU$55)=0,"",SUMIF(Z$3:Z$55,AD14,AU$3:AU$55))</f>
        <v>4</v>
      </c>
      <c r="AF14" s="2">
        <f t="array" ref="AF14">IF($AE14&lt;&gt;"",((5-MAX(IF($Z$3:$Z$53=$AD14,C$3:C$53,"")))*2)^2,"")</f>
        <v>4</v>
      </c>
      <c r="AG14" s="2">
        <f t="array" ref="AG14">IF($AE14&lt;&gt;"",((5-MAX(IF($Z$3:$Z$53=$AD14,D$3:D$53,"")))*2)^2,"")</f>
        <v>16</v>
      </c>
      <c r="AH14" s="2">
        <f t="array" ref="AH14">IF($AE14&lt;&gt;"",((5-MAX(IF($Z$3:$Z$53=$AD14,E$3:E$53,"")))*2)^2,"")</f>
        <v>4</v>
      </c>
      <c r="AI14" s="2">
        <f t="array" ref="AI14">IF($AE14&lt;&gt;"",((5-MAX(IF($Z$3:$Z$53=$AD14,F$3:F$53,"")))*2)^2,"")</f>
        <v>4</v>
      </c>
      <c r="AJ14" s="2">
        <f t="shared" si="3"/>
        <v>28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50">
        <v>1</v>
      </c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</row>
    <row r="15" spans="1:126" ht="15.75" thickBot="1" x14ac:dyDescent="0.3">
      <c r="A15" s="30" t="s">
        <v>53</v>
      </c>
      <c r="B15" s="31" t="s">
        <v>54</v>
      </c>
      <c r="C15" s="32">
        <v>3</v>
      </c>
      <c r="D15" s="32">
        <v>4</v>
      </c>
      <c r="E15" s="32">
        <v>4</v>
      </c>
      <c r="F15" s="33">
        <v>3</v>
      </c>
      <c r="G15" s="34"/>
      <c r="H15" s="34"/>
      <c r="I15" s="31"/>
      <c r="J15" s="34">
        <v>5</v>
      </c>
      <c r="K15" s="34">
        <v>2</v>
      </c>
      <c r="L15" s="34">
        <v>9</v>
      </c>
      <c r="M15" s="34">
        <v>10</v>
      </c>
      <c r="N15" s="34">
        <v>6</v>
      </c>
      <c r="O15" s="34">
        <v>1</v>
      </c>
      <c r="P15" s="34">
        <v>7</v>
      </c>
      <c r="Q15" s="34">
        <v>8</v>
      </c>
      <c r="R15" s="34">
        <v>15</v>
      </c>
      <c r="S15" s="34">
        <v>13</v>
      </c>
      <c r="T15" s="34">
        <v>14</v>
      </c>
      <c r="U15" s="34">
        <v>4</v>
      </c>
      <c r="V15" s="34">
        <v>12</v>
      </c>
      <c r="W15" s="34">
        <v>3</v>
      </c>
      <c r="X15" s="31">
        <v>11</v>
      </c>
      <c r="Y15" s="2"/>
      <c r="Z15" s="13">
        <v>5</v>
      </c>
      <c r="AA15" s="2">
        <f t="shared" si="6"/>
        <v>0</v>
      </c>
      <c r="AB15" s="13">
        <f t="shared" si="7"/>
        <v>1</v>
      </c>
      <c r="AC15" s="2"/>
      <c r="AD15" s="2">
        <v>13</v>
      </c>
      <c r="AE15" s="2">
        <f>IF(SUMIF(Z$3:Z$55,AD15,AU$3:AU$55)=0,"",SUMIF(Z$3:Z$55,AD15,AU$3:AU$55))</f>
        <v>5</v>
      </c>
      <c r="AF15" s="2">
        <f t="array" ref="AF15">IF($AE15&lt;&gt;"",((5-MAX(IF($Z$3:$Z$53=$AD15,C$3:C$53,"")))*2)^2,"")</f>
        <v>0</v>
      </c>
      <c r="AG15" s="2">
        <f t="array" ref="AG15">IF($AE15&lt;&gt;"",((5-MAX(IF($Z$3:$Z$53=$AD15,D$3:D$53,"")))*2)^2,"")</f>
        <v>4</v>
      </c>
      <c r="AH15" s="2">
        <f t="array" ref="AH15">IF($AE15&lt;&gt;"",((5-MAX(IF($Z$3:$Z$53=$AD15,E$3:E$53,"")))*2)^2,"")</f>
        <v>0</v>
      </c>
      <c r="AI15" s="2">
        <f t="array" ref="AI15">IF($AE15&lt;&gt;"",((5-MAX(IF($Z$3:$Z$53=$AD15,F$3:F$53,"")))*2)^2,"")</f>
        <v>4</v>
      </c>
      <c r="AJ15" s="2">
        <f t="shared" si="3"/>
        <v>8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50">
        <v>2</v>
      </c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</row>
    <row r="16" spans="1:126" ht="15.75" thickBot="1" x14ac:dyDescent="0.3">
      <c r="A16" s="30" t="s">
        <v>55</v>
      </c>
      <c r="B16" s="31" t="s">
        <v>56</v>
      </c>
      <c r="C16" s="32">
        <v>3</v>
      </c>
      <c r="D16" s="32">
        <v>4</v>
      </c>
      <c r="E16" s="32">
        <v>4</v>
      </c>
      <c r="F16" s="33">
        <v>4</v>
      </c>
      <c r="G16" s="34"/>
      <c r="H16" s="34"/>
      <c r="I16" s="31"/>
      <c r="J16" s="32">
        <v>7</v>
      </c>
      <c r="K16" s="32">
        <v>2</v>
      </c>
      <c r="L16" s="32">
        <v>14</v>
      </c>
      <c r="M16" s="32">
        <v>13</v>
      </c>
      <c r="N16" s="32">
        <v>10</v>
      </c>
      <c r="O16" s="32">
        <v>1</v>
      </c>
      <c r="P16" s="32">
        <v>5</v>
      </c>
      <c r="Q16" s="32">
        <v>8</v>
      </c>
      <c r="R16" s="32">
        <v>15</v>
      </c>
      <c r="S16" s="32">
        <v>12</v>
      </c>
      <c r="T16" s="32">
        <v>4</v>
      </c>
      <c r="U16" s="32">
        <v>3</v>
      </c>
      <c r="V16" s="32">
        <v>6</v>
      </c>
      <c r="W16" s="32">
        <v>9</v>
      </c>
      <c r="X16" s="33">
        <v>11</v>
      </c>
      <c r="Y16" s="2"/>
      <c r="Z16" s="13">
        <v>7</v>
      </c>
      <c r="AA16" s="2">
        <f t="shared" si="6"/>
        <v>0</v>
      </c>
      <c r="AB16" s="13">
        <f t="shared" si="7"/>
        <v>1</v>
      </c>
      <c r="AC16" s="2"/>
      <c r="AD16" s="2">
        <v>14</v>
      </c>
      <c r="AE16" s="2">
        <f>IF(SUMIF(Z$3:Z$55,AD16,AU$3:AU$55)=0,"",SUMIF(Z$3:Z$55,AD16,AU$3:AU$55))</f>
        <v>4</v>
      </c>
      <c r="AF16" s="2">
        <f t="array" ref="AF16">IF($AE16&lt;&gt;"",((5-MAX(IF($Z$3:$Z$53=$AD16,C$3:C$53,"")))*2)^2,"")</f>
        <v>36</v>
      </c>
      <c r="AG16" s="2">
        <f t="array" ref="AG16">IF($AE16&lt;&gt;"",((5-MAX(IF($Z$3:$Z$53=$AD16,D$3:D$53,"")))*2)^2,"")</f>
        <v>16</v>
      </c>
      <c r="AH16" s="2">
        <f t="array" ref="AH16">IF($AE16&lt;&gt;"",((5-MAX(IF($Z$3:$Z$53=$AD16,E$3:E$53,"")))*2)^2,"")</f>
        <v>4</v>
      </c>
      <c r="AI16" s="2">
        <f t="array" ref="AI16">IF($AE16&lt;&gt;"",((5-MAX(IF($Z$3:$Z$53=$AD16,F$3:F$53,"")))*2)^2,"")</f>
        <v>4</v>
      </c>
      <c r="AJ16" s="2">
        <f t="shared" si="3"/>
        <v>60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50">
        <v>1</v>
      </c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</row>
    <row r="17" spans="1:126" ht="15.75" thickBot="1" x14ac:dyDescent="0.3">
      <c r="A17" s="30" t="s">
        <v>57</v>
      </c>
      <c r="B17" s="31" t="s">
        <v>58</v>
      </c>
      <c r="C17" s="32">
        <v>5</v>
      </c>
      <c r="D17" s="32">
        <v>3</v>
      </c>
      <c r="E17" s="32">
        <v>5</v>
      </c>
      <c r="F17" s="33">
        <v>4</v>
      </c>
      <c r="G17" s="34"/>
      <c r="H17" s="34"/>
      <c r="I17" s="31"/>
      <c r="J17" s="32">
        <v>13</v>
      </c>
      <c r="K17" s="32">
        <v>15</v>
      </c>
      <c r="L17" s="32">
        <v>1</v>
      </c>
      <c r="M17" s="32">
        <v>14</v>
      </c>
      <c r="N17" s="32">
        <v>7</v>
      </c>
      <c r="O17" s="32">
        <v>5</v>
      </c>
      <c r="P17" s="32">
        <v>3</v>
      </c>
      <c r="Q17" s="32">
        <v>10</v>
      </c>
      <c r="R17" s="32">
        <v>2</v>
      </c>
      <c r="S17" s="32">
        <v>6</v>
      </c>
      <c r="T17" s="32">
        <v>12</v>
      </c>
      <c r="U17" s="32">
        <v>9</v>
      </c>
      <c r="V17" s="32">
        <v>8</v>
      </c>
      <c r="W17" s="32">
        <v>4</v>
      </c>
      <c r="X17" s="33">
        <v>11</v>
      </c>
      <c r="Y17" s="2"/>
      <c r="Z17" s="13">
        <v>15</v>
      </c>
      <c r="AA17" s="2">
        <f t="shared" si="6"/>
        <v>2.2360679774997898</v>
      </c>
      <c r="AB17" s="13">
        <f t="shared" si="7"/>
        <v>2</v>
      </c>
      <c r="AC17" s="2"/>
      <c r="AD17" s="2">
        <v>15</v>
      </c>
      <c r="AE17" s="2">
        <f>IF(SUMIF(Z$3:Z$55,AD17,AU$3:AU$55)=0,"",SUMIF(Z$3:Z$55,AD17,AU$3:AU$55))</f>
        <v>5</v>
      </c>
      <c r="AF17" s="2">
        <f t="array" ref="AF17">IF($AE17&lt;&gt;"",((5-MAX(IF($Z$3:$Z$53=$AD17,C$3:C$53,"")))*2)^2,"")</f>
        <v>0</v>
      </c>
      <c r="AG17" s="2">
        <f t="array" ref="AG17">IF($AE17&lt;&gt;"",((5-MAX(IF($Z$3:$Z$53=$AD17,D$3:D$53,"")))*2)^2,"")</f>
        <v>16</v>
      </c>
      <c r="AH17" s="2">
        <f t="array" ref="AH17">IF($AE17&lt;&gt;"",((5-MAX(IF($Z$3:$Z$53=$AD17,E$3:E$53,"")))*2)^2,"")</f>
        <v>0</v>
      </c>
      <c r="AI17" s="2">
        <f t="array" ref="AI17">IF($AE17&lt;&gt;"",((5-MAX(IF($Z$3:$Z$53=$AD17,F$3:F$53,"")))*2)^2,"")</f>
        <v>4</v>
      </c>
      <c r="AJ17" s="2">
        <f t="shared" si="3"/>
        <v>20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50">
        <v>5</v>
      </c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</row>
    <row r="18" spans="1:126" ht="15.75" thickBot="1" x14ac:dyDescent="0.3">
      <c r="A18" s="30" t="s">
        <v>59</v>
      </c>
      <c r="B18" s="31" t="s">
        <v>60</v>
      </c>
      <c r="C18" s="32">
        <v>3</v>
      </c>
      <c r="D18" s="32">
        <v>1</v>
      </c>
      <c r="E18" s="32">
        <v>4</v>
      </c>
      <c r="F18" s="33">
        <v>3</v>
      </c>
      <c r="G18" s="34"/>
      <c r="H18" s="34"/>
      <c r="I18" s="31"/>
      <c r="J18" s="32">
        <v>8</v>
      </c>
      <c r="K18" s="32">
        <v>14</v>
      </c>
      <c r="L18" s="32">
        <v>13</v>
      </c>
      <c r="M18" s="32">
        <v>10</v>
      </c>
      <c r="N18" s="34">
        <v>15</v>
      </c>
      <c r="O18" s="34">
        <v>2</v>
      </c>
      <c r="P18" s="34">
        <v>9</v>
      </c>
      <c r="Q18" s="34">
        <v>4</v>
      </c>
      <c r="R18" s="34">
        <v>6</v>
      </c>
      <c r="S18" s="34">
        <v>12</v>
      </c>
      <c r="T18" s="34">
        <v>7</v>
      </c>
      <c r="U18" s="34">
        <v>3</v>
      </c>
      <c r="V18" s="34">
        <v>1</v>
      </c>
      <c r="W18" s="34">
        <v>5</v>
      </c>
      <c r="X18" s="31">
        <v>11</v>
      </c>
      <c r="Y18" s="2"/>
      <c r="Z18" s="13">
        <v>8</v>
      </c>
      <c r="AA18" s="2">
        <f t="shared" si="6"/>
        <v>0</v>
      </c>
      <c r="AB18" s="13">
        <f t="shared" si="7"/>
        <v>1</v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50">
        <v>1</v>
      </c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</row>
    <row r="19" spans="1:126" ht="15.75" thickBot="1" x14ac:dyDescent="0.3">
      <c r="A19" s="30" t="s">
        <v>61</v>
      </c>
      <c r="B19" s="31" t="s">
        <v>62</v>
      </c>
      <c r="C19" s="32">
        <v>4</v>
      </c>
      <c r="D19" s="32">
        <v>5</v>
      </c>
      <c r="E19" s="32">
        <v>3</v>
      </c>
      <c r="F19" s="33">
        <v>4</v>
      </c>
      <c r="G19" s="34"/>
      <c r="H19" s="34"/>
      <c r="I19" s="31"/>
      <c r="J19" s="32">
        <v>7</v>
      </c>
      <c r="K19" s="32">
        <v>13</v>
      </c>
      <c r="L19" s="32">
        <v>14</v>
      </c>
      <c r="M19" s="32">
        <v>8</v>
      </c>
      <c r="N19" s="32">
        <v>15</v>
      </c>
      <c r="O19" s="32">
        <v>1</v>
      </c>
      <c r="P19" s="32">
        <v>3</v>
      </c>
      <c r="Q19" s="32">
        <v>10</v>
      </c>
      <c r="R19" s="32">
        <v>5</v>
      </c>
      <c r="S19" s="32">
        <v>4</v>
      </c>
      <c r="T19" s="32">
        <v>6</v>
      </c>
      <c r="U19" s="32">
        <v>9</v>
      </c>
      <c r="V19" s="32">
        <v>12</v>
      </c>
      <c r="W19" s="32">
        <v>2</v>
      </c>
      <c r="X19" s="33">
        <v>11</v>
      </c>
      <c r="Y19" s="2"/>
      <c r="Z19" s="13">
        <v>8</v>
      </c>
      <c r="AA19" s="2">
        <f t="shared" si="6"/>
        <v>9</v>
      </c>
      <c r="AB19" s="13">
        <f t="shared" si="7"/>
        <v>4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50">
        <v>1</v>
      </c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</row>
    <row r="20" spans="1:126" ht="15.75" thickBot="1" x14ac:dyDescent="0.3">
      <c r="A20" s="30" t="s">
        <v>63</v>
      </c>
      <c r="B20" s="31" t="s">
        <v>64</v>
      </c>
      <c r="C20" s="32">
        <v>3</v>
      </c>
      <c r="D20" s="32">
        <v>3</v>
      </c>
      <c r="E20" s="32">
        <v>4</v>
      </c>
      <c r="F20" s="33">
        <v>4</v>
      </c>
      <c r="G20" s="34">
        <v>1</v>
      </c>
      <c r="H20" s="34">
        <v>12</v>
      </c>
      <c r="I20" s="31"/>
      <c r="J20" s="32">
        <v>1</v>
      </c>
      <c r="K20" s="32">
        <v>12</v>
      </c>
      <c r="L20" s="32">
        <v>2</v>
      </c>
      <c r="M20" s="32">
        <v>3</v>
      </c>
      <c r="N20" s="32">
        <v>4</v>
      </c>
      <c r="O20" s="32">
        <v>5</v>
      </c>
      <c r="P20" s="32">
        <v>6</v>
      </c>
      <c r="Q20" s="32">
        <v>7</v>
      </c>
      <c r="R20" s="32">
        <v>8</v>
      </c>
      <c r="S20" s="32">
        <v>9</v>
      </c>
      <c r="T20" s="32">
        <v>10</v>
      </c>
      <c r="U20" s="32">
        <v>11</v>
      </c>
      <c r="V20" s="32">
        <v>13</v>
      </c>
      <c r="W20" s="32">
        <v>14</v>
      </c>
      <c r="X20" s="33">
        <v>15</v>
      </c>
      <c r="Y20" s="2"/>
      <c r="Z20" s="13">
        <v>12</v>
      </c>
      <c r="AA20" s="2">
        <f t="shared" si="6"/>
        <v>1</v>
      </c>
      <c r="AB20" s="13">
        <f t="shared" si="7"/>
        <v>2</v>
      </c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50">
        <v>1</v>
      </c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</row>
    <row r="21" spans="1:126" ht="15.75" thickBot="1" x14ac:dyDescent="0.3">
      <c r="A21" s="30" t="s">
        <v>65</v>
      </c>
      <c r="B21" s="31" t="s">
        <v>66</v>
      </c>
      <c r="C21" s="32">
        <v>3</v>
      </c>
      <c r="D21" s="32">
        <v>3</v>
      </c>
      <c r="E21" s="32">
        <v>2</v>
      </c>
      <c r="F21" s="33">
        <v>3</v>
      </c>
      <c r="G21" s="32"/>
      <c r="H21" s="32"/>
      <c r="I21" s="31"/>
      <c r="J21" s="32">
        <v>7</v>
      </c>
      <c r="K21" s="32">
        <v>15</v>
      </c>
      <c r="L21" s="32">
        <v>12</v>
      </c>
      <c r="M21" s="32">
        <v>14</v>
      </c>
      <c r="N21" s="32">
        <v>10</v>
      </c>
      <c r="O21" s="32">
        <v>13</v>
      </c>
      <c r="P21" s="32">
        <v>5</v>
      </c>
      <c r="Q21" s="32">
        <v>2</v>
      </c>
      <c r="R21" s="32">
        <v>6</v>
      </c>
      <c r="S21" s="32">
        <v>9</v>
      </c>
      <c r="T21" s="32">
        <v>4</v>
      </c>
      <c r="U21" s="32">
        <v>8</v>
      </c>
      <c r="V21" s="32">
        <v>1</v>
      </c>
      <c r="W21" s="32">
        <v>3</v>
      </c>
      <c r="X21" s="33">
        <v>11</v>
      </c>
      <c r="Y21" s="2"/>
      <c r="Z21" s="13">
        <v>12</v>
      </c>
      <c r="AA21" s="2">
        <f t="shared" si="6"/>
        <v>4</v>
      </c>
      <c r="AB21" s="13">
        <f t="shared" si="7"/>
        <v>3</v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50">
        <v>1</v>
      </c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</row>
    <row r="22" spans="1:126" ht="15.75" thickBot="1" x14ac:dyDescent="0.3">
      <c r="A22" s="44" t="s">
        <v>67</v>
      </c>
      <c r="B22" s="42" t="s">
        <v>68</v>
      </c>
      <c r="C22" s="36">
        <v>3</v>
      </c>
      <c r="D22" s="36">
        <v>2</v>
      </c>
      <c r="E22" s="36">
        <v>5</v>
      </c>
      <c r="F22" s="45">
        <v>5</v>
      </c>
      <c r="G22" s="43">
        <v>3</v>
      </c>
      <c r="H22" s="43">
        <v>2</v>
      </c>
      <c r="I22" s="42">
        <v>10</v>
      </c>
      <c r="J22" s="36">
        <v>3</v>
      </c>
      <c r="K22" s="36">
        <v>2</v>
      </c>
      <c r="L22" s="36">
        <v>10</v>
      </c>
      <c r="M22" s="36">
        <v>7</v>
      </c>
      <c r="N22" s="36">
        <v>11</v>
      </c>
      <c r="O22" s="36">
        <v>13</v>
      </c>
      <c r="P22" s="36">
        <v>9</v>
      </c>
      <c r="Q22" s="36">
        <v>5</v>
      </c>
      <c r="R22" s="36">
        <v>8</v>
      </c>
      <c r="S22" s="36">
        <v>4</v>
      </c>
      <c r="T22" s="36">
        <v>1</v>
      </c>
      <c r="U22" s="36">
        <v>6</v>
      </c>
      <c r="V22" s="36">
        <v>10</v>
      </c>
      <c r="W22" s="36">
        <v>9</v>
      </c>
      <c r="X22" s="45">
        <v>12</v>
      </c>
      <c r="Y22" s="2"/>
      <c r="Z22" s="13">
        <v>2</v>
      </c>
      <c r="AA22" s="2">
        <f t="shared" si="6"/>
        <v>1</v>
      </c>
      <c r="AB22" s="13">
        <f t="shared" si="7"/>
        <v>2</v>
      </c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51">
        <v>1</v>
      </c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</row>
    <row r="23" spans="1:126" ht="15.75" thickBot="1" x14ac:dyDescent="0.3">
      <c r="A23" s="30" t="s">
        <v>69</v>
      </c>
      <c r="B23" s="31" t="s">
        <v>70</v>
      </c>
      <c r="C23" s="32">
        <v>2</v>
      </c>
      <c r="D23" s="32">
        <v>2</v>
      </c>
      <c r="E23" s="32">
        <v>3</v>
      </c>
      <c r="F23" s="33">
        <v>3</v>
      </c>
      <c r="G23" s="32"/>
      <c r="H23" s="32"/>
      <c r="I23" s="33"/>
      <c r="J23" s="32">
        <v>2</v>
      </c>
      <c r="K23" s="32">
        <v>9</v>
      </c>
      <c r="L23" s="32">
        <v>7</v>
      </c>
      <c r="M23" s="34">
        <v>15</v>
      </c>
      <c r="N23" s="34">
        <v>12</v>
      </c>
      <c r="O23" s="34">
        <v>3</v>
      </c>
      <c r="P23" s="34">
        <v>10</v>
      </c>
      <c r="Q23" s="34">
        <v>13</v>
      </c>
      <c r="R23" s="34">
        <v>5</v>
      </c>
      <c r="S23" s="34">
        <v>1</v>
      </c>
      <c r="T23" s="34">
        <v>8</v>
      </c>
      <c r="U23" s="34">
        <v>14</v>
      </c>
      <c r="V23" s="34">
        <v>6</v>
      </c>
      <c r="W23" s="34">
        <v>4</v>
      </c>
      <c r="X23" s="31">
        <v>11</v>
      </c>
      <c r="Y23" s="2"/>
      <c r="Z23" s="13">
        <v>2</v>
      </c>
      <c r="AA23" s="2">
        <f t="shared" si="6"/>
        <v>0</v>
      </c>
      <c r="AB23" s="13">
        <f t="shared" si="7"/>
        <v>1</v>
      </c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50">
        <v>1</v>
      </c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</row>
    <row r="24" spans="1:126" ht="15.75" thickBot="1" x14ac:dyDescent="0.3">
      <c r="A24" s="30" t="s">
        <v>95</v>
      </c>
      <c r="B24" s="31" t="s">
        <v>96</v>
      </c>
      <c r="C24" s="32">
        <v>2</v>
      </c>
      <c r="D24" s="32">
        <v>3</v>
      </c>
      <c r="E24" s="32">
        <v>4</v>
      </c>
      <c r="F24" s="33">
        <v>4</v>
      </c>
      <c r="G24" s="34"/>
      <c r="H24" s="34"/>
      <c r="I24" s="31"/>
      <c r="J24" s="32">
        <v>13</v>
      </c>
      <c r="K24" s="32">
        <v>14</v>
      </c>
      <c r="L24" s="32">
        <v>7</v>
      </c>
      <c r="M24" s="32">
        <v>10</v>
      </c>
      <c r="N24" s="32">
        <v>2</v>
      </c>
      <c r="O24" s="32">
        <v>1</v>
      </c>
      <c r="P24" s="32">
        <v>5</v>
      </c>
      <c r="Q24" s="32">
        <v>4</v>
      </c>
      <c r="R24" s="32">
        <v>15</v>
      </c>
      <c r="S24" s="32">
        <v>12</v>
      </c>
      <c r="T24" s="32">
        <v>9</v>
      </c>
      <c r="U24" s="32">
        <v>3</v>
      </c>
      <c r="V24" s="32">
        <v>8</v>
      </c>
      <c r="W24" s="32">
        <v>6</v>
      </c>
      <c r="X24" s="33">
        <v>11</v>
      </c>
      <c r="Y24" s="2"/>
      <c r="Z24" s="13">
        <v>14</v>
      </c>
      <c r="AA24" s="2">
        <f t="shared" si="6"/>
        <v>1.7320508075688772</v>
      </c>
      <c r="AB24" s="13">
        <f t="shared" si="7"/>
        <v>2</v>
      </c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50">
        <v>3</v>
      </c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</row>
    <row r="25" spans="1:126" ht="15.75" thickBot="1" x14ac:dyDescent="0.3">
      <c r="A25" s="30" t="s">
        <v>71</v>
      </c>
      <c r="B25" s="31" t="s">
        <v>72</v>
      </c>
      <c r="C25" s="32">
        <v>2</v>
      </c>
      <c r="D25" s="32">
        <v>2</v>
      </c>
      <c r="E25" s="32">
        <v>2</v>
      </c>
      <c r="F25" s="33">
        <v>4</v>
      </c>
      <c r="G25" s="34"/>
      <c r="H25" s="34"/>
      <c r="I25" s="31"/>
      <c r="J25" s="32">
        <v>15</v>
      </c>
      <c r="K25" s="32">
        <v>14</v>
      </c>
      <c r="L25" s="32">
        <v>13</v>
      </c>
      <c r="M25" s="32">
        <v>7</v>
      </c>
      <c r="N25" s="32">
        <v>3</v>
      </c>
      <c r="O25" s="32">
        <v>12</v>
      </c>
      <c r="P25" s="32">
        <v>10</v>
      </c>
      <c r="Q25" s="32">
        <v>5</v>
      </c>
      <c r="R25" s="32">
        <v>8</v>
      </c>
      <c r="S25" s="32">
        <v>9</v>
      </c>
      <c r="T25" s="32">
        <v>5</v>
      </c>
      <c r="U25" s="32">
        <v>4</v>
      </c>
      <c r="V25" s="32">
        <v>1</v>
      </c>
      <c r="W25" s="32">
        <v>2</v>
      </c>
      <c r="X25" s="33">
        <v>11</v>
      </c>
      <c r="Y25" s="2"/>
      <c r="Z25" s="13">
        <v>14</v>
      </c>
      <c r="AA25" s="2">
        <f t="shared" si="6"/>
        <v>1</v>
      </c>
      <c r="AB25" s="13">
        <f t="shared" si="7"/>
        <v>2</v>
      </c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50">
        <v>1</v>
      </c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</row>
    <row r="26" spans="1:126" ht="15.75" thickBot="1" x14ac:dyDescent="0.3">
      <c r="A26" s="30" t="s">
        <v>73</v>
      </c>
      <c r="B26" s="31" t="s">
        <v>74</v>
      </c>
      <c r="C26" s="32">
        <v>4</v>
      </c>
      <c r="D26" s="32">
        <v>5</v>
      </c>
      <c r="E26" s="32">
        <v>2</v>
      </c>
      <c r="F26" s="33">
        <v>3</v>
      </c>
      <c r="G26" s="34"/>
      <c r="H26" s="34"/>
      <c r="I26" s="38"/>
      <c r="J26" s="46">
        <v>2</v>
      </c>
      <c r="K26" s="46">
        <v>7</v>
      </c>
      <c r="L26" s="46">
        <v>13</v>
      </c>
      <c r="M26" s="46">
        <v>14</v>
      </c>
      <c r="N26" s="46">
        <v>9</v>
      </c>
      <c r="O26" s="46">
        <v>5</v>
      </c>
      <c r="P26" s="46">
        <v>10</v>
      </c>
      <c r="Q26" s="46">
        <v>3</v>
      </c>
      <c r="R26" s="32">
        <v>8</v>
      </c>
      <c r="S26" s="32">
        <v>6</v>
      </c>
      <c r="T26" s="32">
        <v>1</v>
      </c>
      <c r="U26" s="32">
        <v>15</v>
      </c>
      <c r="V26" s="32">
        <v>12</v>
      </c>
      <c r="W26" s="32">
        <v>4</v>
      </c>
      <c r="X26" s="33">
        <v>11</v>
      </c>
      <c r="Y26" s="2"/>
      <c r="Z26" s="13">
        <v>2</v>
      </c>
      <c r="AA26" s="2">
        <f t="shared" si="6"/>
        <v>0</v>
      </c>
      <c r="AB26" s="13">
        <f t="shared" si="7"/>
        <v>1</v>
      </c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50">
        <v>1</v>
      </c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</row>
    <row r="27" spans="1:126" ht="15.75" thickBot="1" x14ac:dyDescent="0.3">
      <c r="A27" s="30" t="s">
        <v>75</v>
      </c>
      <c r="B27" s="31" t="s">
        <v>76</v>
      </c>
      <c r="C27" s="32">
        <v>3</v>
      </c>
      <c r="D27" s="32">
        <v>4</v>
      </c>
      <c r="E27" s="32">
        <v>4</v>
      </c>
      <c r="F27" s="33">
        <v>4</v>
      </c>
      <c r="G27" s="34"/>
      <c r="H27" s="34"/>
      <c r="I27" s="31"/>
      <c r="J27" s="32">
        <v>13</v>
      </c>
      <c r="K27" s="32">
        <v>3</v>
      </c>
      <c r="L27" s="32">
        <v>5</v>
      </c>
      <c r="M27" s="32">
        <v>7</v>
      </c>
      <c r="N27" s="32">
        <v>2</v>
      </c>
      <c r="O27" s="32">
        <v>6</v>
      </c>
      <c r="P27" s="32">
        <v>9</v>
      </c>
      <c r="Q27" s="47">
        <v>1</v>
      </c>
      <c r="R27" s="32">
        <v>15</v>
      </c>
      <c r="S27" s="32">
        <v>12</v>
      </c>
      <c r="T27" s="32">
        <v>10</v>
      </c>
      <c r="U27" s="32">
        <v>4</v>
      </c>
      <c r="V27" s="32">
        <v>8</v>
      </c>
      <c r="W27" s="32">
        <v>14</v>
      </c>
      <c r="X27" s="33">
        <v>11</v>
      </c>
      <c r="Y27" s="2"/>
      <c r="Z27" s="13">
        <v>5</v>
      </c>
      <c r="AA27" s="2">
        <f t="shared" si="6"/>
        <v>4</v>
      </c>
      <c r="AB27" s="13">
        <f t="shared" si="7"/>
        <v>3</v>
      </c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50">
        <v>1</v>
      </c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</row>
    <row r="28" spans="1:126" ht="15.75" thickBot="1" x14ac:dyDescent="0.3">
      <c r="A28" s="30" t="s">
        <v>90</v>
      </c>
      <c r="B28" s="31" t="s">
        <v>91</v>
      </c>
      <c r="C28" s="32">
        <v>4</v>
      </c>
      <c r="D28" s="32">
        <v>5</v>
      </c>
      <c r="E28" s="32">
        <v>2</v>
      </c>
      <c r="F28" s="33">
        <v>4</v>
      </c>
      <c r="G28" s="34"/>
      <c r="H28" s="34"/>
      <c r="I28" s="31"/>
      <c r="J28" s="32">
        <v>15</v>
      </c>
      <c r="K28" s="32">
        <v>14</v>
      </c>
      <c r="L28" s="32">
        <v>7</v>
      </c>
      <c r="M28" s="32">
        <v>13</v>
      </c>
      <c r="N28" s="48">
        <v>3</v>
      </c>
      <c r="O28" s="47">
        <v>2</v>
      </c>
      <c r="P28" s="32">
        <v>8</v>
      </c>
      <c r="Q28" s="32">
        <v>11</v>
      </c>
      <c r="R28" s="32">
        <v>9</v>
      </c>
      <c r="S28" s="32">
        <v>1</v>
      </c>
      <c r="T28" s="32">
        <v>12</v>
      </c>
      <c r="U28" s="32">
        <v>10</v>
      </c>
      <c r="V28" s="32">
        <v>6</v>
      </c>
      <c r="W28" s="32">
        <v>5</v>
      </c>
      <c r="X28" s="33">
        <v>4</v>
      </c>
      <c r="Y28" s="2"/>
      <c r="Z28" s="13">
        <v>7</v>
      </c>
      <c r="AA28" s="2">
        <f t="shared" si="6"/>
        <v>6.9282032302755088</v>
      </c>
      <c r="AB28" s="13">
        <f t="shared" si="7"/>
        <v>3</v>
      </c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50">
        <v>3</v>
      </c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</row>
    <row r="29" spans="1:126" ht="15.75" thickBot="1" x14ac:dyDescent="0.3">
      <c r="A29" s="30" t="s">
        <v>77</v>
      </c>
      <c r="B29" s="31" t="s">
        <v>78</v>
      </c>
      <c r="C29" s="32">
        <v>2</v>
      </c>
      <c r="D29" s="32">
        <v>3</v>
      </c>
      <c r="E29" s="32">
        <v>4</v>
      </c>
      <c r="F29" s="33">
        <v>4</v>
      </c>
      <c r="G29" s="34"/>
      <c r="H29" s="34"/>
      <c r="I29" s="31"/>
      <c r="J29" s="32">
        <v>10</v>
      </c>
      <c r="K29" s="32">
        <v>5</v>
      </c>
      <c r="L29" s="32">
        <v>13</v>
      </c>
      <c r="M29" s="32">
        <v>12</v>
      </c>
      <c r="N29" s="32">
        <v>11</v>
      </c>
      <c r="O29" s="32">
        <v>2</v>
      </c>
      <c r="P29" s="32">
        <v>3</v>
      </c>
      <c r="Q29" s="32">
        <v>4</v>
      </c>
      <c r="R29" s="32">
        <v>7</v>
      </c>
      <c r="S29" s="32">
        <v>15</v>
      </c>
      <c r="T29" s="32">
        <v>14</v>
      </c>
      <c r="U29" s="32">
        <v>1</v>
      </c>
      <c r="V29" s="32">
        <v>6</v>
      </c>
      <c r="W29" s="32">
        <v>9</v>
      </c>
      <c r="X29" s="33">
        <v>8</v>
      </c>
      <c r="Y29" s="2"/>
      <c r="Z29" s="13">
        <v>5</v>
      </c>
      <c r="AA29" s="2">
        <f t="shared" si="6"/>
        <v>1</v>
      </c>
      <c r="AB29" s="13">
        <f t="shared" si="7"/>
        <v>2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50">
        <v>1</v>
      </c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</row>
    <row r="30" spans="1:126" ht="15.75" thickBot="1" x14ac:dyDescent="0.3">
      <c r="A30" s="30" t="s">
        <v>84</v>
      </c>
      <c r="B30" s="31" t="s">
        <v>85</v>
      </c>
      <c r="C30" s="32">
        <v>4</v>
      </c>
      <c r="D30" s="32">
        <v>2</v>
      </c>
      <c r="E30" s="32">
        <v>4</v>
      </c>
      <c r="F30" s="33">
        <v>3</v>
      </c>
      <c r="G30" s="34"/>
      <c r="H30" s="34"/>
      <c r="I30" s="31"/>
      <c r="J30" s="32">
        <v>12</v>
      </c>
      <c r="K30" s="32">
        <v>4</v>
      </c>
      <c r="L30" s="32">
        <v>9</v>
      </c>
      <c r="M30" s="32">
        <v>2</v>
      </c>
      <c r="N30" s="32">
        <v>1</v>
      </c>
      <c r="O30" s="47">
        <v>15</v>
      </c>
      <c r="P30" s="32">
        <v>7</v>
      </c>
      <c r="Q30" s="32">
        <v>8</v>
      </c>
      <c r="R30" s="32">
        <v>14</v>
      </c>
      <c r="S30" s="32">
        <v>3</v>
      </c>
      <c r="T30" s="32">
        <v>10</v>
      </c>
      <c r="U30" s="32">
        <v>13</v>
      </c>
      <c r="V30" s="32">
        <v>6</v>
      </c>
      <c r="W30" s="32">
        <v>5</v>
      </c>
      <c r="X30" s="33">
        <v>11</v>
      </c>
      <c r="Y30" s="2"/>
      <c r="Z30" s="13">
        <v>12</v>
      </c>
      <c r="AA30" s="2">
        <f t="shared" si="6"/>
        <v>0</v>
      </c>
      <c r="AB30" s="13">
        <f t="shared" si="7"/>
        <v>1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50">
        <v>1</v>
      </c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</row>
    <row r="31" spans="1:126" ht="15.75" thickBot="1" x14ac:dyDescent="0.3">
      <c r="A31" s="30" t="s">
        <v>86</v>
      </c>
      <c r="B31" s="31" t="s">
        <v>87</v>
      </c>
      <c r="C31" s="32">
        <v>1</v>
      </c>
      <c r="D31" s="32">
        <v>4</v>
      </c>
      <c r="E31" s="32">
        <v>3</v>
      </c>
      <c r="F31" s="33">
        <v>3</v>
      </c>
      <c r="G31" s="34"/>
      <c r="H31" s="34"/>
      <c r="I31" s="31"/>
      <c r="J31" s="32">
        <v>7</v>
      </c>
      <c r="K31" s="32">
        <v>3</v>
      </c>
      <c r="L31" s="32">
        <v>5</v>
      </c>
      <c r="M31" s="32">
        <v>4</v>
      </c>
      <c r="N31" s="32">
        <v>11</v>
      </c>
      <c r="O31" s="47">
        <v>15</v>
      </c>
      <c r="P31" s="32">
        <v>6</v>
      </c>
      <c r="Q31" s="32"/>
      <c r="R31" s="32"/>
      <c r="S31" s="32"/>
      <c r="T31" s="32"/>
      <c r="U31" s="32"/>
      <c r="V31" s="32"/>
      <c r="W31" s="32"/>
      <c r="X31" s="33"/>
      <c r="Y31" s="2"/>
      <c r="Z31" s="13">
        <v>11</v>
      </c>
      <c r="AA31" s="2">
        <f t="shared" si="6"/>
        <v>22.627416997969522</v>
      </c>
      <c r="AB31" s="13">
        <f t="shared" si="7"/>
        <v>5</v>
      </c>
      <c r="AC31" s="2"/>
      <c r="AD31" s="2"/>
      <c r="AE31" s="2"/>
      <c r="AF31" s="2"/>
      <c r="AG31" s="2"/>
      <c r="AH31"/>
      <c r="AI31"/>
      <c r="AJ31"/>
      <c r="AK31"/>
      <c r="AL31"/>
      <c r="AM31" s="2"/>
      <c r="AN31" s="2"/>
      <c r="AO31" s="2"/>
      <c r="AP31" s="2"/>
      <c r="AQ31" s="2"/>
      <c r="AR31" s="2"/>
      <c r="AS31" s="2"/>
      <c r="AT31" s="2"/>
      <c r="AU31" s="50">
        <v>2</v>
      </c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</row>
    <row r="32" spans="1:126" x14ac:dyDescent="0.25">
      <c r="AV32" s="2"/>
      <c r="AW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</row>
    <row r="33" spans="1:126" x14ac:dyDescent="0.25">
      <c r="A33" s="53"/>
      <c r="B33" s="53"/>
      <c r="C33" s="54"/>
      <c r="D33" s="54"/>
      <c r="E33" s="54"/>
      <c r="F33" s="54"/>
      <c r="G33" s="53"/>
      <c r="H33" s="53"/>
      <c r="I33" s="53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AU33" s="54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</row>
    <row r="34" spans="1:126" x14ac:dyDescent="0.25"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</row>
    <row r="35" spans="1:126" x14ac:dyDescent="0.25">
      <c r="A35" s="53"/>
      <c r="B35" s="53"/>
      <c r="C35" s="54"/>
      <c r="D35" s="54"/>
      <c r="E35" s="54"/>
      <c r="F35" s="54"/>
      <c r="G35" s="53"/>
      <c r="H35" s="53"/>
      <c r="I35" s="53"/>
      <c r="J35" s="54"/>
      <c r="K35" s="54"/>
      <c r="L35" s="54"/>
      <c r="M35" s="54"/>
      <c r="N35" s="54"/>
      <c r="O35" s="54"/>
      <c r="P35" s="54"/>
      <c r="Q35" s="53"/>
      <c r="R35" s="53"/>
      <c r="S35" s="53"/>
      <c r="T35" s="53"/>
      <c r="U35" s="53"/>
      <c r="V35" s="53"/>
      <c r="W35" s="53"/>
      <c r="X35" s="53"/>
      <c r="AU35" s="54"/>
    </row>
    <row r="36" spans="1:126" x14ac:dyDescent="0.25">
      <c r="A36" s="53"/>
      <c r="B36" s="53"/>
      <c r="C36" s="54"/>
      <c r="D36" s="54"/>
      <c r="E36" s="54"/>
      <c r="F36" s="54"/>
      <c r="G36" s="53"/>
      <c r="H36" s="53"/>
      <c r="I36" s="53"/>
      <c r="J36" s="54"/>
      <c r="K36" s="54"/>
      <c r="L36" s="54"/>
      <c r="M36" s="54"/>
      <c r="N36" s="54"/>
      <c r="O36" s="54"/>
      <c r="P36" s="54"/>
      <c r="Q36" s="53"/>
      <c r="R36" s="53"/>
      <c r="S36" s="53"/>
      <c r="T36" s="53"/>
      <c r="U36" s="53"/>
      <c r="V36" s="53"/>
      <c r="W36" s="53"/>
      <c r="X36" s="53"/>
      <c r="AA36" s="13">
        <v>15</v>
      </c>
      <c r="AU36" s="54"/>
    </row>
    <row r="37" spans="1:126" x14ac:dyDescent="0.25">
      <c r="AA37" s="13">
        <v>6</v>
      </c>
    </row>
    <row r="38" spans="1:126" x14ac:dyDescent="0.25">
      <c r="AA38" s="13">
        <v>10</v>
      </c>
    </row>
    <row r="39" spans="1:126" x14ac:dyDescent="0.25">
      <c r="AA39" s="13">
        <v>2</v>
      </c>
    </row>
    <row r="40" spans="1:126" x14ac:dyDescent="0.25">
      <c r="AA40" s="13">
        <v>8</v>
      </c>
    </row>
    <row r="41" spans="1:126" x14ac:dyDescent="0.25">
      <c r="AA41" s="13">
        <v>13</v>
      </c>
    </row>
    <row r="42" spans="1:126" x14ac:dyDescent="0.25">
      <c r="AA42" s="13">
        <v>4</v>
      </c>
    </row>
    <row r="43" spans="1:126" x14ac:dyDescent="0.25">
      <c r="AA43" s="13">
        <v>9</v>
      </c>
    </row>
    <row r="44" spans="1:126" x14ac:dyDescent="0.25">
      <c r="AA44" s="13">
        <v>11</v>
      </c>
    </row>
    <row r="45" spans="1:126" x14ac:dyDescent="0.25">
      <c r="AA45" s="13">
        <v>3</v>
      </c>
    </row>
    <row r="46" spans="1:126" x14ac:dyDescent="0.25">
      <c r="AA46" s="13">
        <v>12</v>
      </c>
    </row>
    <row r="47" spans="1:126" x14ac:dyDescent="0.25">
      <c r="AA47" s="13">
        <v>14</v>
      </c>
    </row>
    <row r="48" spans="1:126" x14ac:dyDescent="0.25">
      <c r="AA48" s="13">
        <v>5</v>
      </c>
    </row>
    <row r="49" spans="27:27" x14ac:dyDescent="0.25">
      <c r="AA49" s="13">
        <v>8</v>
      </c>
    </row>
    <row r="50" spans="27:27" x14ac:dyDescent="0.25">
      <c r="AA50" s="13">
        <v>1</v>
      </c>
    </row>
    <row r="51" spans="27:27" x14ac:dyDescent="0.25">
      <c r="AA51" s="13">
        <v>8</v>
      </c>
    </row>
    <row r="52" spans="27:27" x14ac:dyDescent="0.25">
      <c r="AA52" s="13">
        <v>7</v>
      </c>
    </row>
    <row r="53" spans="27:27" x14ac:dyDescent="0.25">
      <c r="AA53" s="13">
        <v>12</v>
      </c>
    </row>
    <row r="54" spans="27:27" x14ac:dyDescent="0.25">
      <c r="AA54" s="13">
        <v>7</v>
      </c>
    </row>
    <row r="55" spans="27:27" x14ac:dyDescent="0.25">
      <c r="AA55" s="13">
        <v>2</v>
      </c>
    </row>
    <row r="56" spans="27:27" x14ac:dyDescent="0.25">
      <c r="AA56" s="13">
        <v>2</v>
      </c>
    </row>
    <row r="57" spans="27:27" x14ac:dyDescent="0.25">
      <c r="AA57" s="13">
        <v>14</v>
      </c>
    </row>
    <row r="58" spans="27:27" x14ac:dyDescent="0.25">
      <c r="AA58" s="13">
        <v>7</v>
      </c>
    </row>
    <row r="59" spans="27:27" x14ac:dyDescent="0.25">
      <c r="AA59" s="13">
        <v>5</v>
      </c>
    </row>
    <row r="60" spans="27:27" x14ac:dyDescent="0.25">
      <c r="AA60" s="13">
        <v>5</v>
      </c>
    </row>
    <row r="61" spans="27:27" x14ac:dyDescent="0.25">
      <c r="AA61" s="13">
        <v>11</v>
      </c>
    </row>
    <row r="62" spans="27:27" x14ac:dyDescent="0.25">
      <c r="AA62" s="13">
        <v>2</v>
      </c>
    </row>
    <row r="63" spans="27:27" x14ac:dyDescent="0.25">
      <c r="AA63" s="13">
        <v>7</v>
      </c>
    </row>
    <row r="64" spans="27:27" x14ac:dyDescent="0.25">
      <c r="AA64" s="13">
        <v>12</v>
      </c>
    </row>
    <row r="80" spans="1:24" x14ac:dyDescent="0.25">
      <c r="A80" s="52" t="str">
        <f>IF(A3=A45,"","ICI")</f>
        <v>ICI</v>
      </c>
      <c r="B80" s="52" t="str">
        <f t="shared" ref="B80:X80" si="8">IF(B3=B45,"","ICI")</f>
        <v>ICI</v>
      </c>
      <c r="C80" s="52" t="str">
        <f t="shared" si="8"/>
        <v>ICI</v>
      </c>
      <c r="D80" s="52" t="str">
        <f t="shared" si="8"/>
        <v>ICI</v>
      </c>
      <c r="E80" s="52" t="str">
        <f t="shared" si="8"/>
        <v>ICI</v>
      </c>
      <c r="F80" s="52" t="str">
        <f t="shared" si="8"/>
        <v>ICI</v>
      </c>
      <c r="G80" s="52" t="str">
        <f t="shared" si="8"/>
        <v/>
      </c>
      <c r="H80" s="52" t="str">
        <f t="shared" si="8"/>
        <v/>
      </c>
      <c r="I80" s="52" t="str">
        <f t="shared" si="8"/>
        <v/>
      </c>
      <c r="J80" s="52" t="str">
        <f t="shared" si="8"/>
        <v>ICI</v>
      </c>
      <c r="K80" s="52" t="str">
        <f t="shared" si="8"/>
        <v>ICI</v>
      </c>
      <c r="L80" s="52" t="str">
        <f t="shared" si="8"/>
        <v>ICI</v>
      </c>
      <c r="M80" s="52" t="str">
        <f t="shared" si="8"/>
        <v>ICI</v>
      </c>
      <c r="N80" s="52" t="str">
        <f t="shared" si="8"/>
        <v>ICI</v>
      </c>
      <c r="O80" s="52" t="str">
        <f t="shared" si="8"/>
        <v>ICI</v>
      </c>
      <c r="P80" s="52" t="str">
        <f t="shared" si="8"/>
        <v>ICI</v>
      </c>
      <c r="Q80" s="52" t="str">
        <f t="shared" si="8"/>
        <v>ICI</v>
      </c>
      <c r="R80" s="52" t="str">
        <f t="shared" si="8"/>
        <v>ICI</v>
      </c>
      <c r="S80" s="52" t="str">
        <f t="shared" si="8"/>
        <v>ICI</v>
      </c>
      <c r="T80" s="52" t="str">
        <f t="shared" si="8"/>
        <v>ICI</v>
      </c>
      <c r="U80" s="52" t="str">
        <f t="shared" si="8"/>
        <v>ICI</v>
      </c>
      <c r="V80" s="52" t="str">
        <f t="shared" si="8"/>
        <v>ICI</v>
      </c>
      <c r="W80" s="52" t="str">
        <f t="shared" si="8"/>
        <v>ICI</v>
      </c>
      <c r="X80" s="52" t="str">
        <f t="shared" si="8"/>
        <v>ICI</v>
      </c>
    </row>
    <row r="81" spans="1:24" x14ac:dyDescent="0.25">
      <c r="A81" s="52" t="str">
        <f t="shared" ref="A81:X87" si="9">IF(A4=A46,"","ICI")</f>
        <v>ICI</v>
      </c>
      <c r="B81" s="52" t="str">
        <f t="shared" si="9"/>
        <v>ICI</v>
      </c>
      <c r="C81" s="52" t="str">
        <f t="shared" si="9"/>
        <v>ICI</v>
      </c>
      <c r="D81" s="52" t="str">
        <f t="shared" si="9"/>
        <v>ICI</v>
      </c>
      <c r="E81" s="52" t="str">
        <f t="shared" si="9"/>
        <v>ICI</v>
      </c>
      <c r="F81" s="52" t="str">
        <f t="shared" si="9"/>
        <v>ICI</v>
      </c>
      <c r="G81" s="52" t="str">
        <f t="shared" si="9"/>
        <v/>
      </c>
      <c r="H81" s="52" t="str">
        <f t="shared" si="9"/>
        <v/>
      </c>
      <c r="I81" s="52" t="str">
        <f t="shared" si="9"/>
        <v/>
      </c>
      <c r="J81" s="52" t="str">
        <f t="shared" si="9"/>
        <v>ICI</v>
      </c>
      <c r="K81" s="52" t="str">
        <f t="shared" si="9"/>
        <v>ICI</v>
      </c>
      <c r="L81" s="52" t="str">
        <f t="shared" si="9"/>
        <v>ICI</v>
      </c>
      <c r="M81" s="52" t="str">
        <f t="shared" si="9"/>
        <v>ICI</v>
      </c>
      <c r="N81" s="52" t="str">
        <f t="shared" si="9"/>
        <v>ICI</v>
      </c>
      <c r="O81" s="52" t="str">
        <f t="shared" si="9"/>
        <v>ICI</v>
      </c>
      <c r="P81" s="52" t="str">
        <f t="shared" si="9"/>
        <v>ICI</v>
      </c>
      <c r="Q81" s="52" t="str">
        <f t="shared" si="9"/>
        <v>ICI</v>
      </c>
      <c r="R81" s="52" t="str">
        <f t="shared" si="9"/>
        <v>ICI</v>
      </c>
      <c r="S81" s="52" t="str">
        <f t="shared" si="9"/>
        <v>ICI</v>
      </c>
      <c r="T81" s="52" t="str">
        <f t="shared" si="9"/>
        <v>ICI</v>
      </c>
      <c r="U81" s="52" t="str">
        <f t="shared" si="9"/>
        <v>ICI</v>
      </c>
      <c r="V81" s="52" t="str">
        <f t="shared" si="9"/>
        <v>ICI</v>
      </c>
      <c r="W81" s="52" t="str">
        <f t="shared" si="9"/>
        <v>ICI</v>
      </c>
      <c r="X81" s="52" t="str">
        <f t="shared" si="9"/>
        <v>ICI</v>
      </c>
    </row>
    <row r="82" spans="1:24" x14ac:dyDescent="0.25">
      <c r="A82" s="52" t="str">
        <f t="shared" si="9"/>
        <v>ICI</v>
      </c>
      <c r="B82" s="52" t="str">
        <f t="shared" si="9"/>
        <v>ICI</v>
      </c>
      <c r="C82" s="52" t="str">
        <f t="shared" si="9"/>
        <v>ICI</v>
      </c>
      <c r="D82" s="52" t="str">
        <f t="shared" si="9"/>
        <v>ICI</v>
      </c>
      <c r="E82" s="52" t="str">
        <f t="shared" si="9"/>
        <v>ICI</v>
      </c>
      <c r="F82" s="52" t="str">
        <f t="shared" si="9"/>
        <v>ICI</v>
      </c>
      <c r="G82" s="52" t="str">
        <f t="shared" si="9"/>
        <v/>
      </c>
      <c r="H82" s="52" t="str">
        <f t="shared" si="9"/>
        <v/>
      </c>
      <c r="I82" s="52" t="str">
        <f t="shared" si="9"/>
        <v/>
      </c>
      <c r="J82" s="52" t="str">
        <f t="shared" si="9"/>
        <v>ICI</v>
      </c>
      <c r="K82" s="52" t="str">
        <f t="shared" si="9"/>
        <v>ICI</v>
      </c>
      <c r="L82" s="52" t="str">
        <f t="shared" si="9"/>
        <v>ICI</v>
      </c>
      <c r="M82" s="52" t="str">
        <f t="shared" si="9"/>
        <v>ICI</v>
      </c>
      <c r="N82" s="52" t="str">
        <f t="shared" si="9"/>
        <v>ICI</v>
      </c>
      <c r="O82" s="52" t="str">
        <f t="shared" si="9"/>
        <v>ICI</v>
      </c>
      <c r="P82" s="52" t="str">
        <f t="shared" si="9"/>
        <v>ICI</v>
      </c>
      <c r="Q82" s="52" t="str">
        <f t="shared" si="9"/>
        <v>ICI</v>
      </c>
      <c r="R82" s="52" t="str">
        <f t="shared" si="9"/>
        <v>ICI</v>
      </c>
      <c r="S82" s="52" t="str">
        <f t="shared" si="9"/>
        <v>ICI</v>
      </c>
      <c r="T82" s="52" t="str">
        <f t="shared" si="9"/>
        <v>ICI</v>
      </c>
      <c r="U82" s="52" t="str">
        <f t="shared" si="9"/>
        <v>ICI</v>
      </c>
      <c r="V82" s="52" t="str">
        <f t="shared" si="9"/>
        <v>ICI</v>
      </c>
      <c r="W82" s="52" t="str">
        <f t="shared" si="9"/>
        <v>ICI</v>
      </c>
      <c r="X82" s="52" t="str">
        <f t="shared" si="9"/>
        <v>ICI</v>
      </c>
    </row>
    <row r="83" spans="1:24" x14ac:dyDescent="0.25">
      <c r="A83" s="52" t="str">
        <f t="shared" si="9"/>
        <v>ICI</v>
      </c>
      <c r="B83" s="52" t="str">
        <f t="shared" si="9"/>
        <v>ICI</v>
      </c>
      <c r="C83" s="52" t="str">
        <f t="shared" si="9"/>
        <v>ICI</v>
      </c>
      <c r="D83" s="52" t="str">
        <f t="shared" si="9"/>
        <v>ICI</v>
      </c>
      <c r="E83" s="52" t="str">
        <f t="shared" si="9"/>
        <v>ICI</v>
      </c>
      <c r="F83" s="52" t="str">
        <f t="shared" si="9"/>
        <v>ICI</v>
      </c>
      <c r="G83" s="52" t="str">
        <f t="shared" si="9"/>
        <v/>
      </c>
      <c r="H83" s="52" t="str">
        <f t="shared" si="9"/>
        <v/>
      </c>
      <c r="I83" s="52" t="str">
        <f t="shared" si="9"/>
        <v/>
      </c>
      <c r="J83" s="52" t="str">
        <f t="shared" si="9"/>
        <v>ICI</v>
      </c>
      <c r="K83" s="52" t="str">
        <f t="shared" si="9"/>
        <v>ICI</v>
      </c>
      <c r="L83" s="52" t="str">
        <f t="shared" si="9"/>
        <v>ICI</v>
      </c>
      <c r="M83" s="52" t="str">
        <f t="shared" si="9"/>
        <v>ICI</v>
      </c>
      <c r="N83" s="52" t="str">
        <f t="shared" si="9"/>
        <v>ICI</v>
      </c>
      <c r="O83" s="52" t="str">
        <f t="shared" si="9"/>
        <v>ICI</v>
      </c>
      <c r="P83" s="52" t="str">
        <f t="shared" si="9"/>
        <v>ICI</v>
      </c>
      <c r="Q83" s="52" t="str">
        <f t="shared" si="9"/>
        <v>ICI</v>
      </c>
      <c r="R83" s="52" t="str">
        <f t="shared" si="9"/>
        <v>ICI</v>
      </c>
      <c r="S83" s="52" t="str">
        <f t="shared" si="9"/>
        <v>ICI</v>
      </c>
      <c r="T83" s="52" t="str">
        <f t="shared" si="9"/>
        <v>ICI</v>
      </c>
      <c r="U83" s="52" t="str">
        <f t="shared" si="9"/>
        <v>ICI</v>
      </c>
      <c r="V83" s="52" t="str">
        <f t="shared" si="9"/>
        <v>ICI</v>
      </c>
      <c r="W83" s="52" t="str">
        <f t="shared" si="9"/>
        <v>ICI</v>
      </c>
      <c r="X83" s="52" t="str">
        <f t="shared" si="9"/>
        <v>ICI</v>
      </c>
    </row>
    <row r="84" spans="1:24" x14ac:dyDescent="0.25">
      <c r="A84" s="52" t="str">
        <f t="shared" si="9"/>
        <v>ICI</v>
      </c>
      <c r="B84" s="52" t="str">
        <f t="shared" si="9"/>
        <v>ICI</v>
      </c>
      <c r="C84" s="52" t="str">
        <f t="shared" si="9"/>
        <v>ICI</v>
      </c>
      <c r="D84" s="52" t="str">
        <f t="shared" si="9"/>
        <v>ICI</v>
      </c>
      <c r="E84" s="52" t="str">
        <f t="shared" si="9"/>
        <v>ICI</v>
      </c>
      <c r="F84" s="52" t="str">
        <f t="shared" si="9"/>
        <v>ICI</v>
      </c>
      <c r="G84" s="52" t="str">
        <f t="shared" si="9"/>
        <v/>
      </c>
      <c r="H84" s="52" t="str">
        <f t="shared" si="9"/>
        <v/>
      </c>
      <c r="I84" s="52" t="str">
        <f t="shared" si="9"/>
        <v/>
      </c>
      <c r="J84" s="52" t="str">
        <f t="shared" si="9"/>
        <v>ICI</v>
      </c>
      <c r="K84" s="52" t="str">
        <f t="shared" si="9"/>
        <v>ICI</v>
      </c>
      <c r="L84" s="52" t="str">
        <f t="shared" si="9"/>
        <v>ICI</v>
      </c>
      <c r="M84" s="52" t="str">
        <f t="shared" si="9"/>
        <v>ICI</v>
      </c>
      <c r="N84" s="52" t="str">
        <f t="shared" si="9"/>
        <v>ICI</v>
      </c>
      <c r="O84" s="52" t="str">
        <f t="shared" si="9"/>
        <v>ICI</v>
      </c>
      <c r="P84" s="52" t="str">
        <f t="shared" si="9"/>
        <v>ICI</v>
      </c>
      <c r="Q84" s="52" t="str">
        <f t="shared" si="9"/>
        <v>ICI</v>
      </c>
      <c r="R84" s="52" t="str">
        <f t="shared" si="9"/>
        <v>ICI</v>
      </c>
      <c r="S84" s="52" t="str">
        <f t="shared" si="9"/>
        <v>ICI</v>
      </c>
      <c r="T84" s="52" t="str">
        <f t="shared" si="9"/>
        <v>ICI</v>
      </c>
      <c r="U84" s="52" t="str">
        <f t="shared" si="9"/>
        <v>ICI</v>
      </c>
      <c r="V84" s="52" t="str">
        <f t="shared" si="9"/>
        <v>ICI</v>
      </c>
      <c r="W84" s="52" t="str">
        <f t="shared" si="9"/>
        <v>ICI</v>
      </c>
      <c r="X84" s="52" t="str">
        <f t="shared" si="9"/>
        <v>ICI</v>
      </c>
    </row>
    <row r="85" spans="1:24" x14ac:dyDescent="0.25">
      <c r="A85" s="52" t="str">
        <f t="shared" si="9"/>
        <v>ICI</v>
      </c>
      <c r="B85" s="52" t="str">
        <f t="shared" si="9"/>
        <v>ICI</v>
      </c>
      <c r="C85" s="52" t="str">
        <f t="shared" si="9"/>
        <v>ICI</v>
      </c>
      <c r="D85" s="52" t="str">
        <f t="shared" si="9"/>
        <v>ICI</v>
      </c>
      <c r="E85" s="52" t="str">
        <f t="shared" si="9"/>
        <v>ICI</v>
      </c>
      <c r="F85" s="52" t="str">
        <f t="shared" si="9"/>
        <v>ICI</v>
      </c>
      <c r="G85" s="52" t="str">
        <f t="shared" si="9"/>
        <v>ICI</v>
      </c>
      <c r="H85" s="52" t="str">
        <f t="shared" si="9"/>
        <v/>
      </c>
      <c r="I85" s="52" t="str">
        <f t="shared" si="9"/>
        <v/>
      </c>
      <c r="J85" s="52" t="str">
        <f t="shared" si="9"/>
        <v>ICI</v>
      </c>
      <c r="K85" s="52" t="str">
        <f t="shared" si="9"/>
        <v>ICI</v>
      </c>
      <c r="L85" s="52" t="str">
        <f t="shared" si="9"/>
        <v>ICI</v>
      </c>
      <c r="M85" s="52" t="str">
        <f t="shared" si="9"/>
        <v>ICI</v>
      </c>
      <c r="N85" s="52" t="str">
        <f t="shared" si="9"/>
        <v>ICI</v>
      </c>
      <c r="O85" s="52" t="str">
        <f t="shared" si="9"/>
        <v>ICI</v>
      </c>
      <c r="P85" s="52" t="str">
        <f t="shared" si="9"/>
        <v>ICI</v>
      </c>
      <c r="Q85" s="52" t="str">
        <f t="shared" si="9"/>
        <v>ICI</v>
      </c>
      <c r="R85" s="52" t="str">
        <f t="shared" si="9"/>
        <v>ICI</v>
      </c>
      <c r="S85" s="52" t="str">
        <f t="shared" si="9"/>
        <v>ICI</v>
      </c>
      <c r="T85" s="52" t="str">
        <f t="shared" si="9"/>
        <v>ICI</v>
      </c>
      <c r="U85" s="52" t="str">
        <f t="shared" si="9"/>
        <v>ICI</v>
      </c>
      <c r="V85" s="52" t="str">
        <f t="shared" si="9"/>
        <v>ICI</v>
      </c>
      <c r="W85" s="52" t="str">
        <f t="shared" si="9"/>
        <v>ICI</v>
      </c>
      <c r="X85" s="52" t="str">
        <f t="shared" si="9"/>
        <v>ICI</v>
      </c>
    </row>
    <row r="86" spans="1:24" x14ac:dyDescent="0.25">
      <c r="A86" s="52" t="str">
        <f t="shared" si="9"/>
        <v>ICI</v>
      </c>
      <c r="B86" s="52" t="str">
        <f t="shared" si="9"/>
        <v>ICI</v>
      </c>
      <c r="C86" s="52" t="str">
        <f t="shared" si="9"/>
        <v>ICI</v>
      </c>
      <c r="D86" s="52" t="str">
        <f t="shared" si="9"/>
        <v>ICI</v>
      </c>
      <c r="E86" s="52" t="str">
        <f t="shared" si="9"/>
        <v>ICI</v>
      </c>
      <c r="F86" s="52" t="str">
        <f t="shared" si="9"/>
        <v>ICI</v>
      </c>
      <c r="G86" s="52" t="str">
        <f t="shared" si="9"/>
        <v>ICI</v>
      </c>
      <c r="H86" s="52" t="str">
        <f t="shared" si="9"/>
        <v/>
      </c>
      <c r="I86" s="52" t="str">
        <f t="shared" si="9"/>
        <v/>
      </c>
      <c r="J86" s="52" t="str">
        <f t="shared" si="9"/>
        <v>ICI</v>
      </c>
      <c r="K86" s="52" t="str">
        <f t="shared" si="9"/>
        <v>ICI</v>
      </c>
      <c r="L86" s="52" t="str">
        <f t="shared" si="9"/>
        <v>ICI</v>
      </c>
      <c r="M86" s="52" t="str">
        <f t="shared" si="9"/>
        <v>ICI</v>
      </c>
      <c r="N86" s="52" t="str">
        <f t="shared" si="9"/>
        <v/>
      </c>
      <c r="O86" s="52" t="str">
        <f t="shared" si="9"/>
        <v/>
      </c>
      <c r="P86" s="52" t="str">
        <f t="shared" si="9"/>
        <v/>
      </c>
      <c r="Q86" s="52" t="str">
        <f t="shared" si="9"/>
        <v/>
      </c>
      <c r="R86" s="52" t="str">
        <f t="shared" si="9"/>
        <v/>
      </c>
      <c r="S86" s="52" t="str">
        <f t="shared" si="9"/>
        <v/>
      </c>
      <c r="T86" s="52" t="str">
        <f t="shared" si="9"/>
        <v/>
      </c>
      <c r="U86" s="52" t="str">
        <f t="shared" si="9"/>
        <v/>
      </c>
      <c r="V86" s="52" t="str">
        <f t="shared" si="9"/>
        <v/>
      </c>
      <c r="W86" s="52" t="str">
        <f t="shared" si="9"/>
        <v>ICI</v>
      </c>
      <c r="X86" s="52" t="str">
        <f t="shared" si="9"/>
        <v>ICI</v>
      </c>
    </row>
    <row r="87" spans="1:24" x14ac:dyDescent="0.25">
      <c r="A87" s="52" t="str">
        <f t="shared" si="9"/>
        <v>ICI</v>
      </c>
      <c r="B87" s="52" t="str">
        <f t="shared" si="9"/>
        <v>ICI</v>
      </c>
      <c r="C87" s="52" t="str">
        <f t="shared" si="9"/>
        <v>ICI</v>
      </c>
      <c r="D87" s="52" t="str">
        <f t="shared" si="9"/>
        <v>ICI</v>
      </c>
      <c r="E87" s="52" t="str">
        <f t="shared" si="9"/>
        <v>ICI</v>
      </c>
      <c r="F87" s="52" t="str">
        <f t="shared" si="9"/>
        <v>ICI</v>
      </c>
      <c r="G87" s="52" t="str">
        <f t="shared" si="9"/>
        <v/>
      </c>
      <c r="H87" s="52" t="str">
        <f t="shared" si="9"/>
        <v/>
      </c>
      <c r="I87" s="52" t="str">
        <f t="shared" si="9"/>
        <v/>
      </c>
      <c r="J87" s="52" t="str">
        <f t="shared" si="9"/>
        <v>ICI</v>
      </c>
      <c r="K87" s="52" t="str">
        <f t="shared" si="9"/>
        <v>ICI</v>
      </c>
      <c r="L87" s="52" t="str">
        <f t="shared" si="9"/>
        <v>ICI</v>
      </c>
      <c r="M87" s="52" t="str">
        <f t="shared" si="9"/>
        <v>ICI</v>
      </c>
      <c r="N87" s="52" t="str">
        <f t="shared" si="9"/>
        <v>ICI</v>
      </c>
      <c r="O87" s="52" t="str">
        <f t="shared" si="9"/>
        <v>ICI</v>
      </c>
      <c r="P87" s="52" t="str">
        <f t="shared" si="9"/>
        <v>ICI</v>
      </c>
      <c r="Q87" s="52" t="str">
        <f t="shared" si="9"/>
        <v>ICI</v>
      </c>
      <c r="R87" s="52" t="str">
        <f t="shared" si="9"/>
        <v>ICI</v>
      </c>
      <c r="S87" s="52" t="str">
        <f t="shared" si="9"/>
        <v>ICI</v>
      </c>
      <c r="T87" s="52" t="str">
        <f t="shared" si="9"/>
        <v>ICI</v>
      </c>
      <c r="U87" s="52" t="str">
        <f t="shared" si="9"/>
        <v>ICI</v>
      </c>
      <c r="V87" s="52" t="str">
        <f t="shared" si="9"/>
        <v>ICI</v>
      </c>
      <c r="W87" s="52" t="str">
        <f t="shared" si="9"/>
        <v>ICI</v>
      </c>
      <c r="X87" s="52" t="str">
        <f t="shared" si="9"/>
        <v>ICI</v>
      </c>
    </row>
    <row r="88" spans="1:24" x14ac:dyDescent="0.25">
      <c r="A88" s="52" t="e">
        <f>IF(#REF!=A53,"","ICI")</f>
        <v>#REF!</v>
      </c>
      <c r="B88" s="52" t="e">
        <f>IF(#REF!=B53,"","ICI")</f>
        <v>#REF!</v>
      </c>
      <c r="C88" s="52" t="e">
        <f>IF(#REF!=C53,"","ICI")</f>
        <v>#REF!</v>
      </c>
      <c r="D88" s="52" t="e">
        <f>IF(#REF!=D53,"","ICI")</f>
        <v>#REF!</v>
      </c>
      <c r="E88" s="52" t="e">
        <f>IF(#REF!=E53,"","ICI")</f>
        <v>#REF!</v>
      </c>
      <c r="F88" s="52" t="e">
        <f>IF(#REF!=F53,"","ICI")</f>
        <v>#REF!</v>
      </c>
      <c r="G88" s="52" t="e">
        <f>IF(#REF!=G53,"","ICI")</f>
        <v>#REF!</v>
      </c>
      <c r="H88" s="52" t="e">
        <f>IF(#REF!=H53,"","ICI")</f>
        <v>#REF!</v>
      </c>
      <c r="I88" s="52" t="e">
        <f>IF(#REF!=I53,"","ICI")</f>
        <v>#REF!</v>
      </c>
      <c r="J88" s="52" t="e">
        <f>IF(#REF!=J53,"","ICI")</f>
        <v>#REF!</v>
      </c>
      <c r="K88" s="52" t="e">
        <f>IF(#REF!=K53,"","ICI")</f>
        <v>#REF!</v>
      </c>
      <c r="L88" s="52" t="e">
        <f>IF(#REF!=L53,"","ICI")</f>
        <v>#REF!</v>
      </c>
      <c r="M88" s="52" t="e">
        <f>IF(#REF!=M53,"","ICI")</f>
        <v>#REF!</v>
      </c>
      <c r="N88" s="52" t="e">
        <f>IF(#REF!=N53,"","ICI")</f>
        <v>#REF!</v>
      </c>
      <c r="O88" s="52" t="e">
        <f>IF(#REF!=O53,"","ICI")</f>
        <v>#REF!</v>
      </c>
      <c r="P88" s="52" t="e">
        <f>IF(#REF!=P53,"","ICI")</f>
        <v>#REF!</v>
      </c>
      <c r="Q88" s="52" t="e">
        <f>IF(#REF!=Q53,"","ICI")</f>
        <v>#REF!</v>
      </c>
      <c r="R88" s="52" t="e">
        <f>IF(#REF!=R53,"","ICI")</f>
        <v>#REF!</v>
      </c>
      <c r="S88" s="52" t="e">
        <f>IF(#REF!=S53,"","ICI")</f>
        <v>#REF!</v>
      </c>
      <c r="T88" s="52" t="e">
        <f>IF(#REF!=T53,"","ICI")</f>
        <v>#REF!</v>
      </c>
      <c r="U88" s="52" t="e">
        <f>IF(#REF!=U53,"","ICI")</f>
        <v>#REF!</v>
      </c>
      <c r="V88" s="52" t="e">
        <f>IF(#REF!=V53,"","ICI")</f>
        <v>#REF!</v>
      </c>
      <c r="W88" s="52" t="e">
        <f>IF(#REF!=W53,"","ICI")</f>
        <v>#REF!</v>
      </c>
      <c r="X88" s="52" t="e">
        <f>IF(#REF!=X53,"","ICI")</f>
        <v>#REF!</v>
      </c>
    </row>
    <row r="89" spans="1:24" x14ac:dyDescent="0.25">
      <c r="A89" s="52" t="e">
        <f>IF(#REF!=A54,"","ICI")</f>
        <v>#REF!</v>
      </c>
      <c r="B89" s="52" t="e">
        <f>IF(#REF!=B54,"","ICI")</f>
        <v>#REF!</v>
      </c>
      <c r="C89" s="52" t="e">
        <f>IF(#REF!=C54,"","ICI")</f>
        <v>#REF!</v>
      </c>
      <c r="D89" s="52" t="e">
        <f>IF(#REF!=D54,"","ICI")</f>
        <v>#REF!</v>
      </c>
      <c r="E89" s="52" t="e">
        <f>IF(#REF!=E54,"","ICI")</f>
        <v>#REF!</v>
      </c>
      <c r="F89" s="52" t="e">
        <f>IF(#REF!=F54,"","ICI")</f>
        <v>#REF!</v>
      </c>
      <c r="G89" s="52" t="e">
        <f>IF(#REF!=G54,"","ICI")</f>
        <v>#REF!</v>
      </c>
      <c r="H89" s="52" t="e">
        <f>IF(#REF!=H54,"","ICI")</f>
        <v>#REF!</v>
      </c>
      <c r="I89" s="52" t="e">
        <f>IF(#REF!=I54,"","ICI")</f>
        <v>#REF!</v>
      </c>
      <c r="J89" s="52" t="e">
        <f>IF(#REF!=J54,"","ICI")</f>
        <v>#REF!</v>
      </c>
      <c r="K89" s="52" t="e">
        <f>IF(#REF!=K54,"","ICI")</f>
        <v>#REF!</v>
      </c>
      <c r="L89" s="52" t="e">
        <f>IF(#REF!=L54,"","ICI")</f>
        <v>#REF!</v>
      </c>
      <c r="M89" s="52" t="e">
        <f>IF(#REF!=M54,"","ICI")</f>
        <v>#REF!</v>
      </c>
      <c r="N89" s="52" t="e">
        <f>IF(#REF!=N54,"","ICI")</f>
        <v>#REF!</v>
      </c>
      <c r="O89" s="52" t="e">
        <f>IF(#REF!=O54,"","ICI")</f>
        <v>#REF!</v>
      </c>
      <c r="P89" s="52" t="e">
        <f>IF(#REF!=P54,"","ICI")</f>
        <v>#REF!</v>
      </c>
      <c r="Q89" s="52" t="e">
        <f>IF(#REF!=Q54,"","ICI")</f>
        <v>#REF!</v>
      </c>
      <c r="R89" s="52" t="e">
        <f>IF(#REF!=R54,"","ICI")</f>
        <v>#REF!</v>
      </c>
      <c r="S89" s="52" t="e">
        <f>IF(#REF!=S54,"","ICI")</f>
        <v>#REF!</v>
      </c>
      <c r="T89" s="52" t="e">
        <f>IF(#REF!=T54,"","ICI")</f>
        <v>#REF!</v>
      </c>
      <c r="U89" s="52" t="e">
        <f>IF(#REF!=U54,"","ICI")</f>
        <v>#REF!</v>
      </c>
      <c r="V89" s="52" t="e">
        <f>IF(#REF!=V54,"","ICI")</f>
        <v>#REF!</v>
      </c>
      <c r="W89" s="52" t="e">
        <f>IF(#REF!=W54,"","ICI")</f>
        <v>#REF!</v>
      </c>
      <c r="X89" s="52" t="e">
        <f>IF(#REF!=X54,"","ICI")</f>
        <v>#REF!</v>
      </c>
    </row>
    <row r="90" spans="1:24" x14ac:dyDescent="0.25">
      <c r="A90" s="52" t="str">
        <f t="shared" ref="A90:X90" si="10">IF(A11=A55,"","ICI")</f>
        <v>ICI</v>
      </c>
      <c r="B90" s="52" t="str">
        <f t="shared" si="10"/>
        <v>ICI</v>
      </c>
      <c r="C90" s="52" t="str">
        <f t="shared" si="10"/>
        <v>ICI</v>
      </c>
      <c r="D90" s="52" t="str">
        <f t="shared" si="10"/>
        <v>ICI</v>
      </c>
      <c r="E90" s="52" t="str">
        <f t="shared" si="10"/>
        <v>ICI</v>
      </c>
      <c r="F90" s="52" t="str">
        <f t="shared" si="10"/>
        <v>ICI</v>
      </c>
      <c r="G90" s="52" t="str">
        <f t="shared" si="10"/>
        <v/>
      </c>
      <c r="H90" s="52" t="str">
        <f t="shared" si="10"/>
        <v/>
      </c>
      <c r="I90" s="52" t="str">
        <f t="shared" si="10"/>
        <v/>
      </c>
      <c r="J90" s="52" t="str">
        <f t="shared" si="10"/>
        <v/>
      </c>
      <c r="K90" s="52" t="str">
        <f t="shared" si="10"/>
        <v>ICI</v>
      </c>
      <c r="L90" s="52" t="str">
        <f t="shared" si="10"/>
        <v/>
      </c>
      <c r="M90" s="52" t="str">
        <f t="shared" si="10"/>
        <v/>
      </c>
      <c r="N90" s="52" t="str">
        <f t="shared" si="10"/>
        <v/>
      </c>
      <c r="O90" s="52" t="str">
        <f t="shared" si="10"/>
        <v/>
      </c>
      <c r="P90" s="52" t="str">
        <f t="shared" si="10"/>
        <v/>
      </c>
      <c r="Q90" s="52" t="str">
        <f t="shared" si="10"/>
        <v/>
      </c>
      <c r="R90" s="52" t="str">
        <f t="shared" si="10"/>
        <v/>
      </c>
      <c r="S90" s="52" t="str">
        <f t="shared" si="10"/>
        <v/>
      </c>
      <c r="T90" s="52" t="str">
        <f t="shared" si="10"/>
        <v/>
      </c>
      <c r="U90" s="52" t="str">
        <f t="shared" si="10"/>
        <v/>
      </c>
      <c r="V90" s="52" t="str">
        <f t="shared" si="10"/>
        <v/>
      </c>
      <c r="W90" s="52" t="str">
        <f t="shared" si="10"/>
        <v/>
      </c>
      <c r="X90" s="52" t="str">
        <f t="shared" si="10"/>
        <v/>
      </c>
    </row>
    <row r="91" spans="1:24" x14ac:dyDescent="0.25">
      <c r="A91" s="52" t="str">
        <f t="shared" ref="A91:X91" si="11">IF(A12=A56,"","ICI")</f>
        <v>ICI</v>
      </c>
      <c r="B91" s="52" t="str">
        <f t="shared" si="11"/>
        <v>ICI</v>
      </c>
      <c r="C91" s="52" t="str">
        <f t="shared" si="11"/>
        <v>ICI</v>
      </c>
      <c r="D91" s="52" t="str">
        <f t="shared" si="11"/>
        <v>ICI</v>
      </c>
      <c r="E91" s="52" t="str">
        <f t="shared" si="11"/>
        <v>ICI</v>
      </c>
      <c r="F91" s="52" t="str">
        <f t="shared" si="11"/>
        <v>ICI</v>
      </c>
      <c r="G91" s="52" t="str">
        <f t="shared" si="11"/>
        <v/>
      </c>
      <c r="H91" s="52" t="str">
        <f t="shared" si="11"/>
        <v/>
      </c>
      <c r="I91" s="52" t="str">
        <f t="shared" si="11"/>
        <v/>
      </c>
      <c r="J91" s="52" t="str">
        <f t="shared" si="11"/>
        <v>ICI</v>
      </c>
      <c r="K91" s="52" t="str">
        <f t="shared" si="11"/>
        <v>ICI</v>
      </c>
      <c r="L91" s="52" t="str">
        <f t="shared" si="11"/>
        <v>ICI</v>
      </c>
      <c r="M91" s="52" t="str">
        <f t="shared" si="11"/>
        <v>ICI</v>
      </c>
      <c r="N91" s="52" t="str">
        <f t="shared" si="11"/>
        <v>ICI</v>
      </c>
      <c r="O91" s="52" t="str">
        <f t="shared" si="11"/>
        <v>ICI</v>
      </c>
      <c r="P91" s="52" t="str">
        <f t="shared" si="11"/>
        <v>ICI</v>
      </c>
      <c r="Q91" s="52" t="str">
        <f t="shared" si="11"/>
        <v>ICI</v>
      </c>
      <c r="R91" s="52" t="str">
        <f t="shared" si="11"/>
        <v>ICI</v>
      </c>
      <c r="S91" s="52" t="str">
        <f t="shared" si="11"/>
        <v>ICI</v>
      </c>
      <c r="T91" s="52" t="str">
        <f t="shared" si="11"/>
        <v>ICI</v>
      </c>
      <c r="U91" s="52" t="str">
        <f t="shared" si="11"/>
        <v>ICI</v>
      </c>
      <c r="V91" s="52" t="str">
        <f t="shared" si="11"/>
        <v>ICI</v>
      </c>
      <c r="W91" s="52" t="str">
        <f t="shared" si="11"/>
        <v>ICI</v>
      </c>
      <c r="X91" s="52" t="str">
        <f t="shared" si="11"/>
        <v>ICI</v>
      </c>
    </row>
    <row r="92" spans="1:24" x14ac:dyDescent="0.25">
      <c r="A92" s="52" t="str">
        <f t="shared" ref="A92:X92" si="12">IF(A13=A57,"","ICI")</f>
        <v>ICI</v>
      </c>
      <c r="B92" s="52" t="str">
        <f t="shared" si="12"/>
        <v>ICI</v>
      </c>
      <c r="C92" s="52" t="str">
        <f t="shared" si="12"/>
        <v>ICI</v>
      </c>
      <c r="D92" s="52" t="str">
        <f t="shared" si="12"/>
        <v>ICI</v>
      </c>
      <c r="E92" s="52" t="str">
        <f t="shared" si="12"/>
        <v>ICI</v>
      </c>
      <c r="F92" s="52" t="str">
        <f t="shared" si="12"/>
        <v>ICI</v>
      </c>
      <c r="G92" s="52" t="str">
        <f t="shared" si="12"/>
        <v/>
      </c>
      <c r="H92" s="52" t="str">
        <f t="shared" si="12"/>
        <v/>
      </c>
      <c r="I92" s="52" t="str">
        <f t="shared" si="12"/>
        <v/>
      </c>
      <c r="J92" s="52" t="str">
        <f t="shared" si="12"/>
        <v>ICI</v>
      </c>
      <c r="K92" s="52" t="str">
        <f t="shared" si="12"/>
        <v>ICI</v>
      </c>
      <c r="L92" s="52" t="str">
        <f t="shared" si="12"/>
        <v>ICI</v>
      </c>
      <c r="M92" s="52" t="str">
        <f t="shared" si="12"/>
        <v>ICI</v>
      </c>
      <c r="N92" s="52" t="str">
        <f t="shared" si="12"/>
        <v>ICI</v>
      </c>
      <c r="O92" s="52" t="str">
        <f t="shared" si="12"/>
        <v>ICI</v>
      </c>
      <c r="P92" s="52" t="str">
        <f t="shared" si="12"/>
        <v>ICI</v>
      </c>
      <c r="Q92" s="52" t="str">
        <f t="shared" si="12"/>
        <v>ICI</v>
      </c>
      <c r="R92" s="52" t="str">
        <f t="shared" si="12"/>
        <v>ICI</v>
      </c>
      <c r="S92" s="52" t="str">
        <f t="shared" si="12"/>
        <v>ICI</v>
      </c>
      <c r="T92" s="52" t="str">
        <f t="shared" si="12"/>
        <v>ICI</v>
      </c>
      <c r="U92" s="52" t="str">
        <f t="shared" si="12"/>
        <v>ICI</v>
      </c>
      <c r="V92" s="52" t="str">
        <f t="shared" si="12"/>
        <v>ICI</v>
      </c>
      <c r="W92" s="52" t="str">
        <f t="shared" si="12"/>
        <v>ICI</v>
      </c>
      <c r="X92" s="52" t="str">
        <f t="shared" si="12"/>
        <v>ICI</v>
      </c>
    </row>
    <row r="93" spans="1:24" x14ac:dyDescent="0.25">
      <c r="A93" s="52" t="str">
        <f t="shared" ref="A93:X93" si="13">IF(A14=A58,"","ICI")</f>
        <v>ICI</v>
      </c>
      <c r="B93" s="52" t="str">
        <f t="shared" si="13"/>
        <v>ICI</v>
      </c>
      <c r="C93" s="52" t="str">
        <f t="shared" si="13"/>
        <v>ICI</v>
      </c>
      <c r="D93" s="52" t="str">
        <f t="shared" si="13"/>
        <v>ICI</v>
      </c>
      <c r="E93" s="52" t="str">
        <f t="shared" si="13"/>
        <v>ICI</v>
      </c>
      <c r="F93" s="52" t="str">
        <f t="shared" si="13"/>
        <v>ICI</v>
      </c>
      <c r="G93" s="52" t="str">
        <f t="shared" si="13"/>
        <v/>
      </c>
      <c r="H93" s="52" t="str">
        <f t="shared" si="13"/>
        <v/>
      </c>
      <c r="I93" s="52" t="str">
        <f t="shared" si="13"/>
        <v/>
      </c>
      <c r="J93" s="52" t="str">
        <f t="shared" si="13"/>
        <v/>
      </c>
      <c r="K93" s="52" t="str">
        <f t="shared" si="13"/>
        <v/>
      </c>
      <c r="L93" s="52" t="str">
        <f t="shared" si="13"/>
        <v/>
      </c>
      <c r="M93" s="52" t="str">
        <f t="shared" si="13"/>
        <v/>
      </c>
      <c r="N93" s="52" t="str">
        <f t="shared" si="13"/>
        <v/>
      </c>
      <c r="O93" s="52" t="str">
        <f t="shared" si="13"/>
        <v/>
      </c>
      <c r="P93" s="52" t="str">
        <f t="shared" si="13"/>
        <v/>
      </c>
      <c r="Q93" s="52" t="str">
        <f t="shared" si="13"/>
        <v/>
      </c>
      <c r="R93" s="52" t="str">
        <f t="shared" si="13"/>
        <v/>
      </c>
      <c r="S93" s="52" t="str">
        <f t="shared" si="13"/>
        <v/>
      </c>
      <c r="T93" s="52" t="str">
        <f t="shared" si="13"/>
        <v/>
      </c>
      <c r="U93" s="52" t="str">
        <f t="shared" si="13"/>
        <v/>
      </c>
      <c r="V93" s="52" t="str">
        <f t="shared" si="13"/>
        <v/>
      </c>
      <c r="W93" s="52" t="str">
        <f t="shared" si="13"/>
        <v/>
      </c>
      <c r="X93" s="52" t="str">
        <f t="shared" si="13"/>
        <v/>
      </c>
    </row>
    <row r="94" spans="1:24" x14ac:dyDescent="0.25">
      <c r="A94" s="52" t="str">
        <f t="shared" ref="A94:X94" si="14">IF(A15=A59,"","ICI")</f>
        <v>ICI</v>
      </c>
      <c r="B94" s="52" t="str">
        <f t="shared" si="14"/>
        <v>ICI</v>
      </c>
      <c r="C94" s="52" t="str">
        <f t="shared" si="14"/>
        <v>ICI</v>
      </c>
      <c r="D94" s="52" t="str">
        <f t="shared" si="14"/>
        <v>ICI</v>
      </c>
      <c r="E94" s="52" t="str">
        <f t="shared" si="14"/>
        <v>ICI</v>
      </c>
      <c r="F94" s="52" t="str">
        <f t="shared" si="14"/>
        <v>ICI</v>
      </c>
      <c r="G94" s="52" t="str">
        <f t="shared" si="14"/>
        <v/>
      </c>
      <c r="H94" s="52" t="str">
        <f t="shared" si="14"/>
        <v/>
      </c>
      <c r="I94" s="52" t="str">
        <f t="shared" si="14"/>
        <v/>
      </c>
      <c r="J94" s="52" t="str">
        <f t="shared" si="14"/>
        <v>ICI</v>
      </c>
      <c r="K94" s="52" t="str">
        <f t="shared" si="14"/>
        <v>ICI</v>
      </c>
      <c r="L94" s="52" t="str">
        <f t="shared" si="14"/>
        <v>ICI</v>
      </c>
      <c r="M94" s="52" t="str">
        <f t="shared" si="14"/>
        <v>ICI</v>
      </c>
      <c r="N94" s="52" t="str">
        <f t="shared" si="14"/>
        <v>ICI</v>
      </c>
      <c r="O94" s="52" t="str">
        <f t="shared" si="14"/>
        <v>ICI</v>
      </c>
      <c r="P94" s="52" t="str">
        <f t="shared" si="14"/>
        <v>ICI</v>
      </c>
      <c r="Q94" s="52" t="str">
        <f t="shared" si="14"/>
        <v>ICI</v>
      </c>
      <c r="R94" s="52" t="str">
        <f t="shared" si="14"/>
        <v>ICI</v>
      </c>
      <c r="S94" s="52" t="str">
        <f t="shared" si="14"/>
        <v>ICI</v>
      </c>
      <c r="T94" s="52" t="str">
        <f t="shared" si="14"/>
        <v>ICI</v>
      </c>
      <c r="U94" s="52" t="str">
        <f t="shared" si="14"/>
        <v>ICI</v>
      </c>
      <c r="V94" s="52" t="str">
        <f t="shared" si="14"/>
        <v>ICI</v>
      </c>
      <c r="W94" s="52" t="str">
        <f t="shared" si="14"/>
        <v>ICI</v>
      </c>
      <c r="X94" s="52" t="str">
        <f t="shared" si="14"/>
        <v>ICI</v>
      </c>
    </row>
    <row r="95" spans="1:24" x14ac:dyDescent="0.25">
      <c r="A95" s="52" t="str">
        <f t="shared" ref="A95:X95" si="15">IF(A16=A60,"","ICI")</f>
        <v>ICI</v>
      </c>
      <c r="B95" s="52" t="str">
        <f t="shared" si="15"/>
        <v>ICI</v>
      </c>
      <c r="C95" s="52" t="str">
        <f t="shared" si="15"/>
        <v>ICI</v>
      </c>
      <c r="D95" s="52" t="str">
        <f t="shared" si="15"/>
        <v>ICI</v>
      </c>
      <c r="E95" s="52" t="str">
        <f t="shared" si="15"/>
        <v>ICI</v>
      </c>
      <c r="F95" s="52" t="str">
        <f t="shared" si="15"/>
        <v>ICI</v>
      </c>
      <c r="G95" s="52" t="str">
        <f t="shared" si="15"/>
        <v/>
      </c>
      <c r="H95" s="52" t="str">
        <f t="shared" si="15"/>
        <v/>
      </c>
      <c r="I95" s="52" t="str">
        <f t="shared" si="15"/>
        <v/>
      </c>
      <c r="J95" s="52" t="str">
        <f t="shared" si="15"/>
        <v>ICI</v>
      </c>
      <c r="K95" s="52" t="str">
        <f t="shared" si="15"/>
        <v>ICI</v>
      </c>
      <c r="L95" s="52" t="str">
        <f t="shared" si="15"/>
        <v>ICI</v>
      </c>
      <c r="M95" s="52" t="str">
        <f t="shared" si="15"/>
        <v>ICI</v>
      </c>
      <c r="N95" s="52" t="str">
        <f t="shared" si="15"/>
        <v>ICI</v>
      </c>
      <c r="O95" s="52" t="str">
        <f t="shared" si="15"/>
        <v>ICI</v>
      </c>
      <c r="P95" s="52" t="str">
        <f t="shared" si="15"/>
        <v>ICI</v>
      </c>
      <c r="Q95" s="52" t="str">
        <f t="shared" si="15"/>
        <v>ICI</v>
      </c>
      <c r="R95" s="52" t="str">
        <f t="shared" si="15"/>
        <v>ICI</v>
      </c>
      <c r="S95" s="52" t="str">
        <f t="shared" si="15"/>
        <v>ICI</v>
      </c>
      <c r="T95" s="52" t="str">
        <f t="shared" si="15"/>
        <v>ICI</v>
      </c>
      <c r="U95" s="52" t="str">
        <f t="shared" si="15"/>
        <v>ICI</v>
      </c>
      <c r="V95" s="52" t="str">
        <f t="shared" si="15"/>
        <v>ICI</v>
      </c>
      <c r="W95" s="52" t="str">
        <f t="shared" si="15"/>
        <v>ICI</v>
      </c>
      <c r="X95" s="52" t="str">
        <f t="shared" si="15"/>
        <v>ICI</v>
      </c>
    </row>
    <row r="96" spans="1:24" x14ac:dyDescent="0.25">
      <c r="A96" s="52" t="str">
        <f t="shared" ref="A96:X96" si="16">IF(A17=A61,"","ICI")</f>
        <v>ICI</v>
      </c>
      <c r="B96" s="52" t="str">
        <f t="shared" si="16"/>
        <v>ICI</v>
      </c>
      <c r="C96" s="52" t="str">
        <f t="shared" si="16"/>
        <v>ICI</v>
      </c>
      <c r="D96" s="52" t="str">
        <f t="shared" si="16"/>
        <v>ICI</v>
      </c>
      <c r="E96" s="52" t="str">
        <f t="shared" si="16"/>
        <v>ICI</v>
      </c>
      <c r="F96" s="52" t="str">
        <f t="shared" si="16"/>
        <v>ICI</v>
      </c>
      <c r="G96" s="52" t="str">
        <f t="shared" si="16"/>
        <v/>
      </c>
      <c r="H96" s="52" t="str">
        <f t="shared" si="16"/>
        <v/>
      </c>
      <c r="I96" s="52" t="str">
        <f t="shared" si="16"/>
        <v/>
      </c>
      <c r="J96" s="52" t="str">
        <f t="shared" si="16"/>
        <v>ICI</v>
      </c>
      <c r="K96" s="52" t="str">
        <f t="shared" si="16"/>
        <v>ICI</v>
      </c>
      <c r="L96" s="52" t="str">
        <f t="shared" si="16"/>
        <v>ICI</v>
      </c>
      <c r="M96" s="52" t="str">
        <f t="shared" si="16"/>
        <v>ICI</v>
      </c>
      <c r="N96" s="52" t="str">
        <f t="shared" si="16"/>
        <v>ICI</v>
      </c>
      <c r="O96" s="52" t="str">
        <f t="shared" si="16"/>
        <v>ICI</v>
      </c>
      <c r="P96" s="52" t="str">
        <f t="shared" si="16"/>
        <v>ICI</v>
      </c>
      <c r="Q96" s="52" t="str">
        <f t="shared" si="16"/>
        <v>ICI</v>
      </c>
      <c r="R96" s="52" t="str">
        <f t="shared" si="16"/>
        <v>ICI</v>
      </c>
      <c r="S96" s="52" t="str">
        <f t="shared" si="16"/>
        <v>ICI</v>
      </c>
      <c r="T96" s="52" t="str">
        <f t="shared" si="16"/>
        <v>ICI</v>
      </c>
      <c r="U96" s="52" t="str">
        <f t="shared" si="16"/>
        <v>ICI</v>
      </c>
      <c r="V96" s="52" t="str">
        <f t="shared" si="16"/>
        <v>ICI</v>
      </c>
      <c r="W96" s="52" t="str">
        <f t="shared" si="16"/>
        <v>ICI</v>
      </c>
      <c r="X96" s="52" t="str">
        <f t="shared" si="16"/>
        <v>ICI</v>
      </c>
    </row>
    <row r="97" spans="1:24" x14ac:dyDescent="0.25">
      <c r="A97" s="52" t="e">
        <f>IF(#REF!=A62,"","ICI")</f>
        <v>#REF!</v>
      </c>
      <c r="B97" s="52" t="e">
        <f>IF(#REF!=B62,"","ICI")</f>
        <v>#REF!</v>
      </c>
      <c r="C97" s="52" t="e">
        <f>IF(#REF!=C62,"","ICI")</f>
        <v>#REF!</v>
      </c>
      <c r="D97" s="52" t="e">
        <f>IF(#REF!=D62,"","ICI")</f>
        <v>#REF!</v>
      </c>
      <c r="E97" s="52" t="e">
        <f>IF(#REF!=E62,"","ICI")</f>
        <v>#REF!</v>
      </c>
      <c r="F97" s="52" t="e">
        <f>IF(#REF!=F62,"","ICI")</f>
        <v>#REF!</v>
      </c>
      <c r="G97" s="52" t="e">
        <f>IF(#REF!=G62,"","ICI")</f>
        <v>#REF!</v>
      </c>
      <c r="H97" s="52" t="e">
        <f>IF(#REF!=H62,"","ICI")</f>
        <v>#REF!</v>
      </c>
      <c r="I97" s="52" t="e">
        <f>IF(#REF!=I62,"","ICI")</f>
        <v>#REF!</v>
      </c>
      <c r="J97" s="52" t="e">
        <f>IF(#REF!=J62,"","ICI")</f>
        <v>#REF!</v>
      </c>
      <c r="K97" s="52" t="e">
        <f>IF(#REF!=K62,"","ICI")</f>
        <v>#REF!</v>
      </c>
      <c r="L97" s="52" t="e">
        <f>IF(#REF!=L62,"","ICI")</f>
        <v>#REF!</v>
      </c>
      <c r="M97" s="52" t="e">
        <f>IF(#REF!=M62,"","ICI")</f>
        <v>#REF!</v>
      </c>
      <c r="N97" s="52" t="e">
        <f>IF(#REF!=N62,"","ICI")</f>
        <v>#REF!</v>
      </c>
      <c r="O97" s="52" t="e">
        <f>IF(#REF!=O62,"","ICI")</f>
        <v>#REF!</v>
      </c>
      <c r="P97" s="52" t="e">
        <f>IF(#REF!=P62,"","ICI")</f>
        <v>#REF!</v>
      </c>
      <c r="Q97" s="52" t="e">
        <f>IF(#REF!=Q62,"","ICI")</f>
        <v>#REF!</v>
      </c>
      <c r="R97" s="52" t="e">
        <f>IF(#REF!=R62,"","ICI")</f>
        <v>#REF!</v>
      </c>
      <c r="S97" s="52" t="e">
        <f>IF(#REF!=S62,"","ICI")</f>
        <v>#REF!</v>
      </c>
      <c r="T97" s="52" t="e">
        <f>IF(#REF!=T62,"","ICI")</f>
        <v>#REF!</v>
      </c>
      <c r="U97" s="52" t="e">
        <f>IF(#REF!=U62,"","ICI")</f>
        <v>#REF!</v>
      </c>
      <c r="V97" s="52" t="e">
        <f>IF(#REF!=V62,"","ICI")</f>
        <v>#REF!</v>
      </c>
      <c r="W97" s="52" t="e">
        <f>IF(#REF!=W62,"","ICI")</f>
        <v>#REF!</v>
      </c>
      <c r="X97" s="52" t="e">
        <f>IF(#REF!=X62,"","ICI")</f>
        <v>#REF!</v>
      </c>
    </row>
    <row r="98" spans="1:24" x14ac:dyDescent="0.25">
      <c r="A98" s="52" t="str">
        <f t="shared" ref="A98:X98" si="17">IF(A18=A63,"","ICI")</f>
        <v>ICI</v>
      </c>
      <c r="B98" s="52" t="str">
        <f t="shared" si="17"/>
        <v>ICI</v>
      </c>
      <c r="C98" s="52" t="str">
        <f t="shared" si="17"/>
        <v>ICI</v>
      </c>
      <c r="D98" s="52" t="str">
        <f t="shared" si="17"/>
        <v>ICI</v>
      </c>
      <c r="E98" s="52" t="str">
        <f t="shared" si="17"/>
        <v>ICI</v>
      </c>
      <c r="F98" s="52" t="str">
        <f t="shared" si="17"/>
        <v>ICI</v>
      </c>
      <c r="G98" s="52" t="str">
        <f t="shared" si="17"/>
        <v/>
      </c>
      <c r="H98" s="52" t="str">
        <f t="shared" si="17"/>
        <v/>
      </c>
      <c r="I98" s="52" t="str">
        <f t="shared" si="17"/>
        <v/>
      </c>
      <c r="J98" s="52" t="str">
        <f t="shared" si="17"/>
        <v>ICI</v>
      </c>
      <c r="K98" s="52" t="str">
        <f t="shared" si="17"/>
        <v>ICI</v>
      </c>
      <c r="L98" s="52" t="str">
        <f t="shared" si="17"/>
        <v>ICI</v>
      </c>
      <c r="M98" s="52" t="str">
        <f t="shared" si="17"/>
        <v>ICI</v>
      </c>
      <c r="N98" s="52" t="str">
        <f t="shared" si="17"/>
        <v>ICI</v>
      </c>
      <c r="O98" s="52" t="str">
        <f t="shared" si="17"/>
        <v>ICI</v>
      </c>
      <c r="P98" s="52" t="str">
        <f t="shared" si="17"/>
        <v>ICI</v>
      </c>
      <c r="Q98" s="52" t="str">
        <f t="shared" si="17"/>
        <v>ICI</v>
      </c>
      <c r="R98" s="52" t="str">
        <f t="shared" si="17"/>
        <v>ICI</v>
      </c>
      <c r="S98" s="52" t="str">
        <f t="shared" si="17"/>
        <v>ICI</v>
      </c>
      <c r="T98" s="52" t="str">
        <f t="shared" si="17"/>
        <v>ICI</v>
      </c>
      <c r="U98" s="52" t="str">
        <f t="shared" si="17"/>
        <v>ICI</v>
      </c>
      <c r="V98" s="52" t="str">
        <f t="shared" si="17"/>
        <v>ICI</v>
      </c>
      <c r="W98" s="52" t="str">
        <f t="shared" si="17"/>
        <v>ICI</v>
      </c>
      <c r="X98" s="52" t="str">
        <f t="shared" si="17"/>
        <v>ICI</v>
      </c>
    </row>
    <row r="99" spans="1:24" x14ac:dyDescent="0.25">
      <c r="A99" s="52" t="str">
        <f t="shared" ref="A99:X99" si="18">IF(A19=A64,"","ICI")</f>
        <v>ICI</v>
      </c>
      <c r="B99" s="52" t="str">
        <f t="shared" si="18"/>
        <v>ICI</v>
      </c>
      <c r="C99" s="52" t="str">
        <f t="shared" si="18"/>
        <v>ICI</v>
      </c>
      <c r="D99" s="52" t="str">
        <f t="shared" si="18"/>
        <v>ICI</v>
      </c>
      <c r="E99" s="52" t="str">
        <f t="shared" si="18"/>
        <v>ICI</v>
      </c>
      <c r="F99" s="52" t="str">
        <f t="shared" si="18"/>
        <v>ICI</v>
      </c>
      <c r="G99" s="52" t="str">
        <f t="shared" si="18"/>
        <v/>
      </c>
      <c r="H99" s="52" t="str">
        <f t="shared" si="18"/>
        <v/>
      </c>
      <c r="I99" s="52" t="str">
        <f t="shared" si="18"/>
        <v/>
      </c>
      <c r="J99" s="52" t="str">
        <f t="shared" si="18"/>
        <v>ICI</v>
      </c>
      <c r="K99" s="52" t="str">
        <f t="shared" si="18"/>
        <v>ICI</v>
      </c>
      <c r="L99" s="52" t="str">
        <f t="shared" si="18"/>
        <v>ICI</v>
      </c>
      <c r="M99" s="52" t="str">
        <f t="shared" si="18"/>
        <v>ICI</v>
      </c>
      <c r="N99" s="52" t="str">
        <f t="shared" si="18"/>
        <v>ICI</v>
      </c>
      <c r="O99" s="52" t="str">
        <f t="shared" si="18"/>
        <v>ICI</v>
      </c>
      <c r="P99" s="52" t="str">
        <f t="shared" si="18"/>
        <v>ICI</v>
      </c>
      <c r="Q99" s="52" t="str">
        <f t="shared" si="18"/>
        <v>ICI</v>
      </c>
      <c r="R99" s="52" t="str">
        <f t="shared" si="18"/>
        <v>ICI</v>
      </c>
      <c r="S99" s="52" t="str">
        <f t="shared" si="18"/>
        <v>ICI</v>
      </c>
      <c r="T99" s="52" t="str">
        <f t="shared" si="18"/>
        <v>ICI</v>
      </c>
      <c r="U99" s="52" t="str">
        <f t="shared" si="18"/>
        <v>ICI</v>
      </c>
      <c r="V99" s="52" t="str">
        <f t="shared" si="18"/>
        <v>ICI</v>
      </c>
      <c r="W99" s="52" t="str">
        <f t="shared" si="18"/>
        <v>ICI</v>
      </c>
      <c r="X99" s="52" t="str">
        <f t="shared" si="18"/>
        <v>ICI</v>
      </c>
    </row>
    <row r="100" spans="1:24" x14ac:dyDescent="0.25">
      <c r="A100" s="52" t="str">
        <f t="shared" ref="A100:X100" si="19">IF(A20=A65,"","ICI")</f>
        <v>ICI</v>
      </c>
      <c r="B100" s="52" t="str">
        <f t="shared" si="19"/>
        <v>ICI</v>
      </c>
      <c r="C100" s="52" t="str">
        <f t="shared" si="19"/>
        <v>ICI</v>
      </c>
      <c r="D100" s="52" t="str">
        <f t="shared" si="19"/>
        <v>ICI</v>
      </c>
      <c r="E100" s="52" t="str">
        <f t="shared" si="19"/>
        <v>ICI</v>
      </c>
      <c r="F100" s="52" t="str">
        <f t="shared" si="19"/>
        <v>ICI</v>
      </c>
      <c r="G100" s="52" t="str">
        <f t="shared" si="19"/>
        <v>ICI</v>
      </c>
      <c r="H100" s="52" t="str">
        <f t="shared" si="19"/>
        <v>ICI</v>
      </c>
      <c r="I100" s="52" t="str">
        <f t="shared" si="19"/>
        <v/>
      </c>
      <c r="J100" s="52" t="str">
        <f t="shared" si="19"/>
        <v>ICI</v>
      </c>
      <c r="K100" s="52" t="str">
        <f t="shared" si="19"/>
        <v>ICI</v>
      </c>
      <c r="L100" s="52" t="str">
        <f t="shared" si="19"/>
        <v>ICI</v>
      </c>
      <c r="M100" s="52" t="str">
        <f t="shared" si="19"/>
        <v>ICI</v>
      </c>
      <c r="N100" s="52" t="str">
        <f t="shared" si="19"/>
        <v>ICI</v>
      </c>
      <c r="O100" s="52" t="str">
        <f t="shared" si="19"/>
        <v>ICI</v>
      </c>
      <c r="P100" s="52" t="str">
        <f t="shared" si="19"/>
        <v>ICI</v>
      </c>
      <c r="Q100" s="52" t="str">
        <f t="shared" si="19"/>
        <v>ICI</v>
      </c>
      <c r="R100" s="52" t="str">
        <f t="shared" si="19"/>
        <v>ICI</v>
      </c>
      <c r="S100" s="52" t="str">
        <f t="shared" si="19"/>
        <v>ICI</v>
      </c>
      <c r="T100" s="52" t="str">
        <f t="shared" si="19"/>
        <v>ICI</v>
      </c>
      <c r="U100" s="52" t="str">
        <f t="shared" si="19"/>
        <v>ICI</v>
      </c>
      <c r="V100" s="52" t="str">
        <f t="shared" si="19"/>
        <v>ICI</v>
      </c>
      <c r="W100" s="52" t="str">
        <f t="shared" si="19"/>
        <v>ICI</v>
      </c>
      <c r="X100" s="52" t="str">
        <f t="shared" si="19"/>
        <v>ICI</v>
      </c>
    </row>
    <row r="101" spans="1:24" x14ac:dyDescent="0.25">
      <c r="A101" s="52" t="str">
        <f t="shared" ref="A101:X101" si="20">IF(A21=A66,"","ICI")</f>
        <v>ICI</v>
      </c>
      <c r="B101" s="52" t="str">
        <f t="shared" si="20"/>
        <v>ICI</v>
      </c>
      <c r="C101" s="52" t="str">
        <f t="shared" si="20"/>
        <v>ICI</v>
      </c>
      <c r="D101" s="52" t="str">
        <f t="shared" si="20"/>
        <v>ICI</v>
      </c>
      <c r="E101" s="52" t="str">
        <f t="shared" si="20"/>
        <v>ICI</v>
      </c>
      <c r="F101" s="52" t="str">
        <f t="shared" si="20"/>
        <v>ICI</v>
      </c>
      <c r="G101" s="52" t="str">
        <f t="shared" si="20"/>
        <v/>
      </c>
      <c r="H101" s="52" t="str">
        <f t="shared" si="20"/>
        <v/>
      </c>
      <c r="I101" s="52" t="str">
        <f t="shared" si="20"/>
        <v/>
      </c>
      <c r="J101" s="52" t="str">
        <f t="shared" si="20"/>
        <v>ICI</v>
      </c>
      <c r="K101" s="52" t="str">
        <f t="shared" si="20"/>
        <v>ICI</v>
      </c>
      <c r="L101" s="52" t="str">
        <f t="shared" si="20"/>
        <v>ICI</v>
      </c>
      <c r="M101" s="52" t="str">
        <f t="shared" si="20"/>
        <v>ICI</v>
      </c>
      <c r="N101" s="52" t="str">
        <f t="shared" si="20"/>
        <v>ICI</v>
      </c>
      <c r="O101" s="52" t="str">
        <f t="shared" si="20"/>
        <v>ICI</v>
      </c>
      <c r="P101" s="52" t="str">
        <f t="shared" si="20"/>
        <v>ICI</v>
      </c>
      <c r="Q101" s="52" t="str">
        <f t="shared" si="20"/>
        <v>ICI</v>
      </c>
      <c r="R101" s="52" t="str">
        <f t="shared" si="20"/>
        <v>ICI</v>
      </c>
      <c r="S101" s="52" t="str">
        <f t="shared" si="20"/>
        <v>ICI</v>
      </c>
      <c r="T101" s="52" t="str">
        <f t="shared" si="20"/>
        <v>ICI</v>
      </c>
      <c r="U101" s="52" t="str">
        <f t="shared" si="20"/>
        <v>ICI</v>
      </c>
      <c r="V101" s="52" t="str">
        <f t="shared" si="20"/>
        <v>ICI</v>
      </c>
      <c r="W101" s="52" t="str">
        <f t="shared" si="20"/>
        <v>ICI</v>
      </c>
      <c r="X101" s="52" t="str">
        <f t="shared" si="20"/>
        <v>ICI</v>
      </c>
    </row>
    <row r="102" spans="1:24" x14ac:dyDescent="0.25">
      <c r="A102" s="52" t="str">
        <f t="shared" ref="A102:X102" si="21">IF(A22=A67,"","ICI")</f>
        <v>ICI</v>
      </c>
      <c r="B102" s="52" t="str">
        <f t="shared" si="21"/>
        <v>ICI</v>
      </c>
      <c r="C102" s="52" t="str">
        <f t="shared" si="21"/>
        <v>ICI</v>
      </c>
      <c r="D102" s="52" t="str">
        <f t="shared" si="21"/>
        <v>ICI</v>
      </c>
      <c r="E102" s="52" t="str">
        <f t="shared" si="21"/>
        <v>ICI</v>
      </c>
      <c r="F102" s="52" t="str">
        <f t="shared" si="21"/>
        <v>ICI</v>
      </c>
      <c r="G102" s="52" t="str">
        <f t="shared" si="21"/>
        <v>ICI</v>
      </c>
      <c r="H102" s="52" t="str">
        <f t="shared" si="21"/>
        <v>ICI</v>
      </c>
      <c r="I102" s="52" t="str">
        <f t="shared" si="21"/>
        <v>ICI</v>
      </c>
      <c r="J102" s="52" t="str">
        <f t="shared" si="21"/>
        <v>ICI</v>
      </c>
      <c r="K102" s="52" t="str">
        <f t="shared" si="21"/>
        <v>ICI</v>
      </c>
      <c r="L102" s="52" t="str">
        <f t="shared" si="21"/>
        <v>ICI</v>
      </c>
      <c r="M102" s="52" t="str">
        <f t="shared" si="21"/>
        <v>ICI</v>
      </c>
      <c r="N102" s="52" t="str">
        <f t="shared" si="21"/>
        <v>ICI</v>
      </c>
      <c r="O102" s="52" t="str">
        <f t="shared" si="21"/>
        <v>ICI</v>
      </c>
      <c r="P102" s="52" t="str">
        <f t="shared" si="21"/>
        <v>ICI</v>
      </c>
      <c r="Q102" s="52" t="str">
        <f t="shared" si="21"/>
        <v>ICI</v>
      </c>
      <c r="R102" s="52" t="str">
        <f t="shared" si="21"/>
        <v>ICI</v>
      </c>
      <c r="S102" s="52" t="str">
        <f t="shared" si="21"/>
        <v>ICI</v>
      </c>
      <c r="T102" s="52" t="str">
        <f t="shared" si="21"/>
        <v>ICI</v>
      </c>
      <c r="U102" s="52" t="str">
        <f t="shared" si="21"/>
        <v>ICI</v>
      </c>
      <c r="V102" s="52" t="str">
        <f t="shared" si="21"/>
        <v>ICI</v>
      </c>
      <c r="W102" s="52" t="str">
        <f t="shared" si="21"/>
        <v>ICI</v>
      </c>
      <c r="X102" s="52" t="str">
        <f t="shared" si="21"/>
        <v>ICI</v>
      </c>
    </row>
    <row r="103" spans="1:24" x14ac:dyDescent="0.25">
      <c r="A103" s="52" t="str">
        <f t="shared" ref="A103:X103" si="22">IF(A23=A68,"","ICI")</f>
        <v>ICI</v>
      </c>
      <c r="B103" s="52" t="str">
        <f t="shared" si="22"/>
        <v>ICI</v>
      </c>
      <c r="C103" s="52" t="str">
        <f t="shared" si="22"/>
        <v>ICI</v>
      </c>
      <c r="D103" s="52" t="str">
        <f t="shared" si="22"/>
        <v>ICI</v>
      </c>
      <c r="E103" s="52" t="str">
        <f t="shared" si="22"/>
        <v>ICI</v>
      </c>
      <c r="F103" s="52" t="str">
        <f t="shared" si="22"/>
        <v>ICI</v>
      </c>
      <c r="G103" s="52" t="str">
        <f t="shared" si="22"/>
        <v/>
      </c>
      <c r="H103" s="52" t="str">
        <f t="shared" si="22"/>
        <v/>
      </c>
      <c r="I103" s="52" t="str">
        <f t="shared" si="22"/>
        <v/>
      </c>
      <c r="J103" s="52" t="str">
        <f t="shared" si="22"/>
        <v>ICI</v>
      </c>
      <c r="K103" s="52" t="str">
        <f t="shared" si="22"/>
        <v>ICI</v>
      </c>
      <c r="L103" s="52" t="str">
        <f t="shared" si="22"/>
        <v>ICI</v>
      </c>
      <c r="M103" s="52" t="str">
        <f t="shared" si="22"/>
        <v>ICI</v>
      </c>
      <c r="N103" s="52" t="str">
        <f t="shared" si="22"/>
        <v>ICI</v>
      </c>
      <c r="O103" s="52" t="str">
        <f t="shared" si="22"/>
        <v>ICI</v>
      </c>
      <c r="P103" s="52" t="str">
        <f t="shared" si="22"/>
        <v>ICI</v>
      </c>
      <c r="Q103" s="52" t="str">
        <f t="shared" si="22"/>
        <v>ICI</v>
      </c>
      <c r="R103" s="52" t="str">
        <f t="shared" si="22"/>
        <v>ICI</v>
      </c>
      <c r="S103" s="52" t="str">
        <f t="shared" si="22"/>
        <v>ICI</v>
      </c>
      <c r="T103" s="52" t="str">
        <f t="shared" si="22"/>
        <v>ICI</v>
      </c>
      <c r="U103" s="52" t="str">
        <f t="shared" si="22"/>
        <v>ICI</v>
      </c>
      <c r="V103" s="52" t="str">
        <f t="shared" si="22"/>
        <v>ICI</v>
      </c>
      <c r="W103" s="52" t="str">
        <f t="shared" si="22"/>
        <v>ICI</v>
      </c>
      <c r="X103" s="52" t="str">
        <f t="shared" si="22"/>
        <v>ICI</v>
      </c>
    </row>
    <row r="104" spans="1:24" x14ac:dyDescent="0.25">
      <c r="A104" s="52" t="str">
        <f t="shared" ref="A104:X104" si="23">IF(A24=A69,"","ICI")</f>
        <v>ICI</v>
      </c>
      <c r="B104" s="52" t="str">
        <f t="shared" si="23"/>
        <v>ICI</v>
      </c>
      <c r="C104" s="52" t="str">
        <f t="shared" si="23"/>
        <v>ICI</v>
      </c>
      <c r="D104" s="52" t="str">
        <f t="shared" si="23"/>
        <v>ICI</v>
      </c>
      <c r="E104" s="52" t="str">
        <f t="shared" si="23"/>
        <v>ICI</v>
      </c>
      <c r="F104" s="52" t="str">
        <f t="shared" si="23"/>
        <v>ICI</v>
      </c>
      <c r="G104" s="52" t="str">
        <f t="shared" si="23"/>
        <v/>
      </c>
      <c r="H104" s="52" t="str">
        <f t="shared" si="23"/>
        <v/>
      </c>
      <c r="I104" s="52" t="str">
        <f t="shared" si="23"/>
        <v/>
      </c>
      <c r="J104" s="52" t="str">
        <f t="shared" si="23"/>
        <v>ICI</v>
      </c>
      <c r="K104" s="52" t="str">
        <f t="shared" si="23"/>
        <v>ICI</v>
      </c>
      <c r="L104" s="52" t="str">
        <f t="shared" si="23"/>
        <v>ICI</v>
      </c>
      <c r="M104" s="52" t="str">
        <f t="shared" si="23"/>
        <v>ICI</v>
      </c>
      <c r="N104" s="52" t="str">
        <f t="shared" si="23"/>
        <v>ICI</v>
      </c>
      <c r="O104" s="52" t="str">
        <f t="shared" si="23"/>
        <v>ICI</v>
      </c>
      <c r="P104" s="52" t="str">
        <f t="shared" si="23"/>
        <v>ICI</v>
      </c>
      <c r="Q104" s="52" t="str">
        <f t="shared" si="23"/>
        <v>ICI</v>
      </c>
      <c r="R104" s="52" t="str">
        <f t="shared" si="23"/>
        <v>ICI</v>
      </c>
      <c r="S104" s="52" t="str">
        <f t="shared" si="23"/>
        <v>ICI</v>
      </c>
      <c r="T104" s="52" t="str">
        <f t="shared" si="23"/>
        <v>ICI</v>
      </c>
      <c r="U104" s="52" t="str">
        <f t="shared" si="23"/>
        <v>ICI</v>
      </c>
      <c r="V104" s="52" t="str">
        <f t="shared" si="23"/>
        <v>ICI</v>
      </c>
      <c r="W104" s="52" t="str">
        <f t="shared" si="23"/>
        <v>ICI</v>
      </c>
      <c r="X104" s="52" t="str">
        <f t="shared" si="23"/>
        <v>ICI</v>
      </c>
    </row>
    <row r="105" spans="1:24" x14ac:dyDescent="0.25">
      <c r="A105" s="52" t="str">
        <f t="shared" ref="A105:X105" si="24">IF(A25=A70,"","ICI")</f>
        <v>ICI</v>
      </c>
      <c r="B105" s="52" t="str">
        <f t="shared" si="24"/>
        <v>ICI</v>
      </c>
      <c r="C105" s="52" t="str">
        <f t="shared" si="24"/>
        <v>ICI</v>
      </c>
      <c r="D105" s="52" t="str">
        <f t="shared" si="24"/>
        <v>ICI</v>
      </c>
      <c r="E105" s="52" t="str">
        <f t="shared" si="24"/>
        <v>ICI</v>
      </c>
      <c r="F105" s="52" t="str">
        <f t="shared" si="24"/>
        <v>ICI</v>
      </c>
      <c r="G105" s="52" t="str">
        <f t="shared" si="24"/>
        <v/>
      </c>
      <c r="H105" s="52" t="str">
        <f t="shared" si="24"/>
        <v/>
      </c>
      <c r="I105" s="52" t="str">
        <f t="shared" si="24"/>
        <v/>
      </c>
      <c r="J105" s="52" t="str">
        <f t="shared" si="24"/>
        <v>ICI</v>
      </c>
      <c r="K105" s="52" t="str">
        <f t="shared" si="24"/>
        <v>ICI</v>
      </c>
      <c r="L105" s="52" t="str">
        <f t="shared" si="24"/>
        <v>ICI</v>
      </c>
      <c r="M105" s="52" t="str">
        <f t="shared" si="24"/>
        <v>ICI</v>
      </c>
      <c r="N105" s="52" t="str">
        <f t="shared" si="24"/>
        <v>ICI</v>
      </c>
      <c r="O105" s="52" t="str">
        <f t="shared" si="24"/>
        <v>ICI</v>
      </c>
      <c r="P105" s="52" t="str">
        <f t="shared" si="24"/>
        <v>ICI</v>
      </c>
      <c r="Q105" s="52" t="str">
        <f t="shared" si="24"/>
        <v>ICI</v>
      </c>
      <c r="R105" s="52" t="str">
        <f t="shared" si="24"/>
        <v>ICI</v>
      </c>
      <c r="S105" s="52" t="str">
        <f t="shared" si="24"/>
        <v>ICI</v>
      </c>
      <c r="T105" s="52" t="str">
        <f t="shared" si="24"/>
        <v>ICI</v>
      </c>
      <c r="U105" s="52" t="str">
        <f t="shared" si="24"/>
        <v>ICI</v>
      </c>
      <c r="V105" s="52" t="str">
        <f t="shared" si="24"/>
        <v>ICI</v>
      </c>
      <c r="W105" s="52" t="str">
        <f t="shared" si="24"/>
        <v>ICI</v>
      </c>
      <c r="X105" s="52" t="str">
        <f t="shared" si="24"/>
        <v>ICI</v>
      </c>
    </row>
    <row r="106" spans="1:24" x14ac:dyDescent="0.25">
      <c r="A106" s="52" t="str">
        <f t="shared" ref="A106:X106" si="25">IF(A26=A71,"","ICI")</f>
        <v>ICI</v>
      </c>
      <c r="B106" s="52" t="str">
        <f t="shared" si="25"/>
        <v>ICI</v>
      </c>
      <c r="C106" s="52" t="str">
        <f t="shared" si="25"/>
        <v>ICI</v>
      </c>
      <c r="D106" s="52" t="str">
        <f t="shared" si="25"/>
        <v>ICI</v>
      </c>
      <c r="E106" s="52" t="str">
        <f t="shared" si="25"/>
        <v>ICI</v>
      </c>
      <c r="F106" s="52" t="str">
        <f t="shared" si="25"/>
        <v>ICI</v>
      </c>
      <c r="G106" s="52" t="str">
        <f t="shared" si="25"/>
        <v/>
      </c>
      <c r="H106" s="52" t="str">
        <f t="shared" si="25"/>
        <v/>
      </c>
      <c r="I106" s="52" t="str">
        <f t="shared" si="25"/>
        <v/>
      </c>
      <c r="J106" s="52" t="str">
        <f t="shared" si="25"/>
        <v>ICI</v>
      </c>
      <c r="K106" s="52" t="str">
        <f t="shared" si="25"/>
        <v>ICI</v>
      </c>
      <c r="L106" s="52" t="str">
        <f t="shared" si="25"/>
        <v>ICI</v>
      </c>
      <c r="M106" s="52" t="str">
        <f t="shared" si="25"/>
        <v>ICI</v>
      </c>
      <c r="N106" s="52" t="str">
        <f t="shared" si="25"/>
        <v>ICI</v>
      </c>
      <c r="O106" s="52" t="str">
        <f t="shared" si="25"/>
        <v>ICI</v>
      </c>
      <c r="P106" s="52" t="str">
        <f t="shared" si="25"/>
        <v>ICI</v>
      </c>
      <c r="Q106" s="52" t="str">
        <f t="shared" si="25"/>
        <v>ICI</v>
      </c>
      <c r="R106" s="52" t="str">
        <f t="shared" si="25"/>
        <v>ICI</v>
      </c>
      <c r="S106" s="52" t="str">
        <f t="shared" si="25"/>
        <v>ICI</v>
      </c>
      <c r="T106" s="52" t="str">
        <f t="shared" si="25"/>
        <v>ICI</v>
      </c>
      <c r="U106" s="52" t="str">
        <f t="shared" si="25"/>
        <v>ICI</v>
      </c>
      <c r="V106" s="52" t="str">
        <f t="shared" si="25"/>
        <v>ICI</v>
      </c>
      <c r="W106" s="52" t="str">
        <f t="shared" si="25"/>
        <v>ICI</v>
      </c>
      <c r="X106" s="52" t="str">
        <f t="shared" si="25"/>
        <v>ICI</v>
      </c>
    </row>
    <row r="107" spans="1:24" x14ac:dyDescent="0.25">
      <c r="A107" s="52" t="str">
        <f t="shared" ref="A107:X107" si="26">IF(A27=A72,"","ICI")</f>
        <v>ICI</v>
      </c>
      <c r="B107" s="52" t="str">
        <f t="shared" si="26"/>
        <v>ICI</v>
      </c>
      <c r="C107" s="52" t="str">
        <f t="shared" si="26"/>
        <v>ICI</v>
      </c>
      <c r="D107" s="52" t="str">
        <f t="shared" si="26"/>
        <v>ICI</v>
      </c>
      <c r="E107" s="52" t="str">
        <f t="shared" si="26"/>
        <v>ICI</v>
      </c>
      <c r="F107" s="52" t="str">
        <f t="shared" si="26"/>
        <v>ICI</v>
      </c>
      <c r="G107" s="52" t="str">
        <f t="shared" si="26"/>
        <v/>
      </c>
      <c r="H107" s="52" t="str">
        <f t="shared" si="26"/>
        <v/>
      </c>
      <c r="I107" s="52" t="str">
        <f t="shared" si="26"/>
        <v/>
      </c>
      <c r="J107" s="52" t="str">
        <f t="shared" si="26"/>
        <v>ICI</v>
      </c>
      <c r="K107" s="52" t="str">
        <f t="shared" si="26"/>
        <v>ICI</v>
      </c>
      <c r="L107" s="52" t="str">
        <f t="shared" si="26"/>
        <v>ICI</v>
      </c>
      <c r="M107" s="52" t="str">
        <f t="shared" si="26"/>
        <v>ICI</v>
      </c>
      <c r="N107" s="52" t="str">
        <f t="shared" si="26"/>
        <v>ICI</v>
      </c>
      <c r="O107" s="52" t="str">
        <f t="shared" si="26"/>
        <v>ICI</v>
      </c>
      <c r="P107" s="52" t="str">
        <f t="shared" si="26"/>
        <v>ICI</v>
      </c>
      <c r="Q107" s="52" t="str">
        <f t="shared" si="26"/>
        <v>ICI</v>
      </c>
      <c r="R107" s="52" t="str">
        <f t="shared" si="26"/>
        <v>ICI</v>
      </c>
      <c r="S107" s="52" t="str">
        <f t="shared" si="26"/>
        <v>ICI</v>
      </c>
      <c r="T107" s="52" t="str">
        <f t="shared" si="26"/>
        <v>ICI</v>
      </c>
      <c r="U107" s="52" t="str">
        <f t="shared" si="26"/>
        <v>ICI</v>
      </c>
      <c r="V107" s="52" t="str">
        <f t="shared" si="26"/>
        <v>ICI</v>
      </c>
      <c r="W107" s="52" t="str">
        <f t="shared" si="26"/>
        <v>ICI</v>
      </c>
      <c r="X107" s="52" t="str">
        <f t="shared" si="26"/>
        <v>ICI</v>
      </c>
    </row>
    <row r="108" spans="1:24" x14ac:dyDescent="0.25">
      <c r="A108" s="52" t="str">
        <f t="shared" ref="A108:X108" si="27">IF(A28=A73,"","ICI")</f>
        <v>ICI</v>
      </c>
      <c r="B108" s="52" t="str">
        <f t="shared" si="27"/>
        <v>ICI</v>
      </c>
      <c r="C108" s="52" t="str">
        <f t="shared" si="27"/>
        <v>ICI</v>
      </c>
      <c r="D108" s="52" t="str">
        <f t="shared" si="27"/>
        <v>ICI</v>
      </c>
      <c r="E108" s="52" t="str">
        <f t="shared" si="27"/>
        <v>ICI</v>
      </c>
      <c r="F108" s="52" t="str">
        <f t="shared" si="27"/>
        <v>ICI</v>
      </c>
      <c r="G108" s="52" t="str">
        <f t="shared" si="27"/>
        <v/>
      </c>
      <c r="H108" s="52" t="str">
        <f t="shared" si="27"/>
        <v/>
      </c>
      <c r="I108" s="52" t="str">
        <f t="shared" si="27"/>
        <v/>
      </c>
      <c r="J108" s="52" t="str">
        <f t="shared" si="27"/>
        <v>ICI</v>
      </c>
      <c r="K108" s="52" t="str">
        <f t="shared" si="27"/>
        <v>ICI</v>
      </c>
      <c r="L108" s="52" t="str">
        <f t="shared" si="27"/>
        <v>ICI</v>
      </c>
      <c r="M108" s="52" t="str">
        <f t="shared" si="27"/>
        <v>ICI</v>
      </c>
      <c r="N108" s="52" t="str">
        <f t="shared" si="27"/>
        <v>ICI</v>
      </c>
      <c r="O108" s="52" t="str">
        <f t="shared" si="27"/>
        <v>ICI</v>
      </c>
      <c r="P108" s="52" t="str">
        <f t="shared" si="27"/>
        <v>ICI</v>
      </c>
      <c r="Q108" s="52" t="str">
        <f t="shared" si="27"/>
        <v>ICI</v>
      </c>
      <c r="R108" s="52" t="str">
        <f t="shared" si="27"/>
        <v>ICI</v>
      </c>
      <c r="S108" s="52" t="str">
        <f t="shared" si="27"/>
        <v>ICI</v>
      </c>
      <c r="T108" s="52" t="str">
        <f t="shared" si="27"/>
        <v>ICI</v>
      </c>
      <c r="U108" s="52" t="str">
        <f t="shared" si="27"/>
        <v>ICI</v>
      </c>
      <c r="V108" s="52" t="str">
        <f t="shared" si="27"/>
        <v>ICI</v>
      </c>
      <c r="W108" s="52" t="str">
        <f t="shared" si="27"/>
        <v>ICI</v>
      </c>
      <c r="X108" s="52" t="str">
        <f t="shared" si="27"/>
        <v>ICI</v>
      </c>
    </row>
    <row r="109" spans="1:24" x14ac:dyDescent="0.25">
      <c r="A109" s="52" t="str">
        <f t="shared" ref="A109:X109" si="28">IF(A29=A74,"","ICI")</f>
        <v>ICI</v>
      </c>
      <c r="B109" s="52" t="str">
        <f t="shared" si="28"/>
        <v>ICI</v>
      </c>
      <c r="C109" s="52" t="str">
        <f t="shared" si="28"/>
        <v>ICI</v>
      </c>
      <c r="D109" s="52" t="str">
        <f t="shared" si="28"/>
        <v>ICI</v>
      </c>
      <c r="E109" s="52" t="str">
        <f t="shared" si="28"/>
        <v>ICI</v>
      </c>
      <c r="F109" s="52" t="str">
        <f t="shared" si="28"/>
        <v>ICI</v>
      </c>
      <c r="G109" s="52" t="str">
        <f t="shared" si="28"/>
        <v/>
      </c>
      <c r="H109" s="52" t="str">
        <f t="shared" si="28"/>
        <v/>
      </c>
      <c r="I109" s="52" t="str">
        <f t="shared" si="28"/>
        <v/>
      </c>
      <c r="J109" s="52" t="str">
        <f t="shared" si="28"/>
        <v>ICI</v>
      </c>
      <c r="K109" s="52" t="str">
        <f t="shared" si="28"/>
        <v>ICI</v>
      </c>
      <c r="L109" s="52" t="str">
        <f t="shared" si="28"/>
        <v>ICI</v>
      </c>
      <c r="M109" s="52" t="str">
        <f t="shared" si="28"/>
        <v>ICI</v>
      </c>
      <c r="N109" s="52" t="str">
        <f t="shared" si="28"/>
        <v>ICI</v>
      </c>
      <c r="O109" s="52" t="str">
        <f t="shared" si="28"/>
        <v>ICI</v>
      </c>
      <c r="P109" s="52" t="str">
        <f t="shared" si="28"/>
        <v>ICI</v>
      </c>
      <c r="Q109" s="52" t="str">
        <f t="shared" si="28"/>
        <v>ICI</v>
      </c>
      <c r="R109" s="52" t="str">
        <f t="shared" si="28"/>
        <v>ICI</v>
      </c>
      <c r="S109" s="52" t="str">
        <f t="shared" si="28"/>
        <v>ICI</v>
      </c>
      <c r="T109" s="52" t="str">
        <f t="shared" si="28"/>
        <v>ICI</v>
      </c>
      <c r="U109" s="52" t="str">
        <f t="shared" si="28"/>
        <v>ICI</v>
      </c>
      <c r="V109" s="52" t="str">
        <f t="shared" si="28"/>
        <v>ICI</v>
      </c>
      <c r="W109" s="52" t="str">
        <f t="shared" si="28"/>
        <v>ICI</v>
      </c>
      <c r="X109" s="52" t="str">
        <f t="shared" si="28"/>
        <v>ICI</v>
      </c>
    </row>
    <row r="110" spans="1:24" x14ac:dyDescent="0.25">
      <c r="A110" s="52" t="str">
        <f t="shared" ref="A110:X110" si="29">IF(A30=A75,"","ICI")</f>
        <v>ICI</v>
      </c>
      <c r="B110" s="52" t="str">
        <f t="shared" si="29"/>
        <v>ICI</v>
      </c>
      <c r="C110" s="52" t="str">
        <f t="shared" si="29"/>
        <v>ICI</v>
      </c>
      <c r="D110" s="52" t="str">
        <f t="shared" si="29"/>
        <v>ICI</v>
      </c>
      <c r="E110" s="52" t="str">
        <f t="shared" si="29"/>
        <v>ICI</v>
      </c>
      <c r="F110" s="52" t="str">
        <f t="shared" si="29"/>
        <v>ICI</v>
      </c>
      <c r="G110" s="52" t="str">
        <f t="shared" si="29"/>
        <v/>
      </c>
      <c r="H110" s="52" t="str">
        <f t="shared" si="29"/>
        <v/>
      </c>
      <c r="I110" s="52" t="str">
        <f t="shared" si="29"/>
        <v/>
      </c>
      <c r="J110" s="52" t="str">
        <f t="shared" si="29"/>
        <v>ICI</v>
      </c>
      <c r="K110" s="52" t="str">
        <f t="shared" si="29"/>
        <v>ICI</v>
      </c>
      <c r="L110" s="52" t="str">
        <f t="shared" si="29"/>
        <v>ICI</v>
      </c>
      <c r="M110" s="52" t="str">
        <f t="shared" si="29"/>
        <v>ICI</v>
      </c>
      <c r="N110" s="52" t="str">
        <f t="shared" si="29"/>
        <v>ICI</v>
      </c>
      <c r="O110" s="52" t="str">
        <f t="shared" si="29"/>
        <v>ICI</v>
      </c>
      <c r="P110" s="52" t="str">
        <f t="shared" si="29"/>
        <v>ICI</v>
      </c>
      <c r="Q110" s="52" t="str">
        <f t="shared" si="29"/>
        <v>ICI</v>
      </c>
      <c r="R110" s="52" t="str">
        <f t="shared" si="29"/>
        <v>ICI</v>
      </c>
      <c r="S110" s="52" t="str">
        <f t="shared" si="29"/>
        <v>ICI</v>
      </c>
      <c r="T110" s="52" t="str">
        <f t="shared" si="29"/>
        <v>ICI</v>
      </c>
      <c r="U110" s="52" t="str">
        <f t="shared" si="29"/>
        <v>ICI</v>
      </c>
      <c r="V110" s="52" t="str">
        <f t="shared" si="29"/>
        <v>ICI</v>
      </c>
      <c r="W110" s="52" t="str">
        <f t="shared" si="29"/>
        <v>ICI</v>
      </c>
      <c r="X110" s="52" t="str">
        <f t="shared" si="29"/>
        <v>ICI</v>
      </c>
    </row>
    <row r="111" spans="1:24" x14ac:dyDescent="0.25">
      <c r="A111" s="52" t="str">
        <f t="shared" ref="A111:X111" si="30">IF(A33=A76,"","ICI")</f>
        <v/>
      </c>
      <c r="B111" s="52" t="str">
        <f t="shared" si="30"/>
        <v/>
      </c>
      <c r="C111" s="52" t="str">
        <f t="shared" si="30"/>
        <v/>
      </c>
      <c r="D111" s="52" t="str">
        <f t="shared" si="30"/>
        <v/>
      </c>
      <c r="E111" s="52" t="str">
        <f t="shared" si="30"/>
        <v/>
      </c>
      <c r="F111" s="52" t="str">
        <f t="shared" si="30"/>
        <v/>
      </c>
      <c r="G111" s="52" t="str">
        <f t="shared" si="30"/>
        <v/>
      </c>
      <c r="H111" s="52" t="str">
        <f t="shared" si="30"/>
        <v/>
      </c>
      <c r="I111" s="52" t="str">
        <f t="shared" si="30"/>
        <v/>
      </c>
      <c r="J111" s="52" t="str">
        <f t="shared" si="30"/>
        <v/>
      </c>
      <c r="K111" s="52" t="str">
        <f t="shared" si="30"/>
        <v/>
      </c>
      <c r="L111" s="52" t="str">
        <f t="shared" si="30"/>
        <v/>
      </c>
      <c r="M111" s="52" t="str">
        <f t="shared" si="30"/>
        <v/>
      </c>
      <c r="N111" s="52" t="str">
        <f t="shared" si="30"/>
        <v/>
      </c>
      <c r="O111" s="52" t="str">
        <f t="shared" si="30"/>
        <v/>
      </c>
      <c r="P111" s="52" t="str">
        <f t="shared" si="30"/>
        <v/>
      </c>
      <c r="Q111" s="52" t="str">
        <f t="shared" si="30"/>
        <v/>
      </c>
      <c r="R111" s="52" t="str">
        <f t="shared" si="30"/>
        <v/>
      </c>
      <c r="S111" s="52" t="str">
        <f t="shared" si="30"/>
        <v/>
      </c>
      <c r="T111" s="52" t="str">
        <f t="shared" si="30"/>
        <v/>
      </c>
      <c r="U111" s="52" t="str">
        <f t="shared" si="30"/>
        <v/>
      </c>
      <c r="V111" s="52" t="str">
        <f t="shared" si="30"/>
        <v/>
      </c>
      <c r="W111" s="52" t="str">
        <f t="shared" si="30"/>
        <v/>
      </c>
      <c r="X111" s="52" t="str">
        <f t="shared" si="30"/>
        <v/>
      </c>
    </row>
    <row r="112" spans="1:24" x14ac:dyDescent="0.25">
      <c r="A112" s="52" t="str">
        <f t="shared" ref="A112:X121" si="31">IF(A35=A77,"","ICI")</f>
        <v/>
      </c>
      <c r="B112" s="52" t="str">
        <f t="shared" si="31"/>
        <v/>
      </c>
      <c r="C112" s="52" t="str">
        <f t="shared" si="31"/>
        <v/>
      </c>
      <c r="D112" s="52" t="str">
        <f t="shared" si="31"/>
        <v/>
      </c>
      <c r="E112" s="52" t="str">
        <f t="shared" si="31"/>
        <v/>
      </c>
      <c r="F112" s="52" t="str">
        <f t="shared" si="31"/>
        <v/>
      </c>
      <c r="G112" s="52" t="str">
        <f t="shared" si="31"/>
        <v/>
      </c>
      <c r="H112" s="52" t="str">
        <f t="shared" si="31"/>
        <v/>
      </c>
      <c r="I112" s="52" t="str">
        <f t="shared" si="31"/>
        <v/>
      </c>
      <c r="J112" s="52" t="str">
        <f t="shared" si="31"/>
        <v/>
      </c>
      <c r="K112" s="52" t="str">
        <f t="shared" si="31"/>
        <v/>
      </c>
      <c r="L112" s="52" t="str">
        <f t="shared" si="31"/>
        <v/>
      </c>
      <c r="M112" s="52" t="str">
        <f t="shared" si="31"/>
        <v/>
      </c>
      <c r="N112" s="52" t="str">
        <f t="shared" si="31"/>
        <v/>
      </c>
      <c r="O112" s="52" t="str">
        <f t="shared" si="31"/>
        <v/>
      </c>
      <c r="P112" s="52" t="str">
        <f t="shared" si="31"/>
        <v/>
      </c>
      <c r="Q112" s="52" t="str">
        <f t="shared" si="31"/>
        <v/>
      </c>
      <c r="R112" s="52" t="str">
        <f t="shared" si="31"/>
        <v/>
      </c>
      <c r="S112" s="52" t="str">
        <f t="shared" si="31"/>
        <v/>
      </c>
      <c r="T112" s="52" t="str">
        <f t="shared" si="31"/>
        <v/>
      </c>
      <c r="U112" s="52" t="str">
        <f t="shared" si="31"/>
        <v/>
      </c>
      <c r="V112" s="52" t="str">
        <f t="shared" si="31"/>
        <v/>
      </c>
      <c r="W112" s="52" t="str">
        <f t="shared" si="31"/>
        <v/>
      </c>
      <c r="X112" s="52" t="str">
        <f t="shared" si="31"/>
        <v/>
      </c>
    </row>
    <row r="113" spans="1:24" x14ac:dyDescent="0.25">
      <c r="A113" s="52" t="str">
        <f t="shared" si="31"/>
        <v/>
      </c>
      <c r="B113" s="52" t="str">
        <f t="shared" si="31"/>
        <v/>
      </c>
      <c r="C113" s="52" t="str">
        <f t="shared" si="31"/>
        <v/>
      </c>
      <c r="D113" s="52" t="str">
        <f t="shared" si="31"/>
        <v/>
      </c>
      <c r="E113" s="52" t="str">
        <f t="shared" si="31"/>
        <v/>
      </c>
      <c r="F113" s="52" t="str">
        <f t="shared" si="31"/>
        <v/>
      </c>
      <c r="G113" s="52" t="str">
        <f t="shared" si="31"/>
        <v/>
      </c>
      <c r="H113" s="52" t="str">
        <f t="shared" si="31"/>
        <v/>
      </c>
      <c r="I113" s="52" t="str">
        <f t="shared" si="31"/>
        <v/>
      </c>
      <c r="J113" s="52" t="str">
        <f t="shared" si="31"/>
        <v/>
      </c>
      <c r="K113" s="52" t="str">
        <f t="shared" si="31"/>
        <v/>
      </c>
      <c r="L113" s="52" t="str">
        <f t="shared" si="31"/>
        <v/>
      </c>
      <c r="M113" s="52" t="str">
        <f t="shared" si="31"/>
        <v/>
      </c>
      <c r="N113" s="52" t="str">
        <f t="shared" si="31"/>
        <v/>
      </c>
      <c r="O113" s="52" t="str">
        <f t="shared" si="31"/>
        <v/>
      </c>
      <c r="P113" s="52" t="str">
        <f t="shared" si="31"/>
        <v/>
      </c>
      <c r="Q113" s="52" t="str">
        <f t="shared" si="31"/>
        <v/>
      </c>
      <c r="R113" s="52" t="str">
        <f t="shared" si="31"/>
        <v/>
      </c>
      <c r="S113" s="52" t="str">
        <f t="shared" si="31"/>
        <v/>
      </c>
      <c r="T113" s="52" t="str">
        <f t="shared" si="31"/>
        <v/>
      </c>
      <c r="U113" s="52" t="str">
        <f t="shared" si="31"/>
        <v/>
      </c>
      <c r="V113" s="52" t="str">
        <f t="shared" si="31"/>
        <v/>
      </c>
      <c r="W113" s="52" t="str">
        <f t="shared" si="31"/>
        <v/>
      </c>
      <c r="X113" s="52" t="str">
        <f t="shared" si="31"/>
        <v/>
      </c>
    </row>
    <row r="114" spans="1:24" x14ac:dyDescent="0.25">
      <c r="A114" s="52" t="str">
        <f t="shared" si="31"/>
        <v/>
      </c>
      <c r="B114" s="52" t="str">
        <f t="shared" si="31"/>
        <v/>
      </c>
      <c r="C114" s="52" t="str">
        <f t="shared" si="31"/>
        <v/>
      </c>
      <c r="D114" s="52" t="str">
        <f t="shared" si="31"/>
        <v/>
      </c>
      <c r="E114" s="52" t="str">
        <f t="shared" si="31"/>
        <v/>
      </c>
      <c r="F114" s="52" t="str">
        <f t="shared" si="31"/>
        <v/>
      </c>
      <c r="G114" s="52" t="str">
        <f t="shared" si="31"/>
        <v/>
      </c>
      <c r="H114" s="52" t="str">
        <f t="shared" si="31"/>
        <v/>
      </c>
      <c r="I114" s="52" t="str">
        <f t="shared" si="31"/>
        <v/>
      </c>
      <c r="J114" s="52" t="str">
        <f t="shared" si="31"/>
        <v/>
      </c>
      <c r="K114" s="52" t="str">
        <f t="shared" si="31"/>
        <v/>
      </c>
      <c r="L114" s="52" t="str">
        <f t="shared" si="31"/>
        <v/>
      </c>
      <c r="M114" s="52" t="str">
        <f t="shared" si="31"/>
        <v/>
      </c>
      <c r="N114" s="52" t="str">
        <f t="shared" si="31"/>
        <v/>
      </c>
      <c r="O114" s="52" t="str">
        <f t="shared" si="31"/>
        <v/>
      </c>
      <c r="P114" s="52" t="str">
        <f t="shared" si="31"/>
        <v/>
      </c>
      <c r="Q114" s="52" t="str">
        <f t="shared" si="31"/>
        <v/>
      </c>
      <c r="R114" s="52" t="str">
        <f t="shared" si="31"/>
        <v/>
      </c>
      <c r="S114" s="52" t="str">
        <f t="shared" si="31"/>
        <v/>
      </c>
      <c r="T114" s="52" t="str">
        <f t="shared" si="31"/>
        <v/>
      </c>
      <c r="U114" s="52" t="str">
        <f t="shared" si="31"/>
        <v/>
      </c>
      <c r="V114" s="52" t="str">
        <f t="shared" si="31"/>
        <v/>
      </c>
      <c r="W114" s="52" t="str">
        <f t="shared" si="31"/>
        <v/>
      </c>
      <c r="X114" s="52" t="str">
        <f t="shared" si="31"/>
        <v/>
      </c>
    </row>
    <row r="115" spans="1:24" x14ac:dyDescent="0.25">
      <c r="A115" s="52" t="str">
        <f t="shared" si="31"/>
        <v>ICI</v>
      </c>
      <c r="B115" s="52" t="str">
        <f t="shared" si="31"/>
        <v>ICI</v>
      </c>
      <c r="C115" s="52" t="str">
        <f t="shared" si="31"/>
        <v>ICI</v>
      </c>
      <c r="D115" s="52" t="str">
        <f t="shared" si="31"/>
        <v>ICI</v>
      </c>
      <c r="E115" s="52" t="str">
        <f t="shared" si="31"/>
        <v>ICI</v>
      </c>
      <c r="F115" s="52" t="str">
        <f t="shared" si="31"/>
        <v>ICI</v>
      </c>
      <c r="G115" s="52" t="str">
        <f t="shared" si="31"/>
        <v/>
      </c>
      <c r="H115" s="52" t="str">
        <f t="shared" si="31"/>
        <v/>
      </c>
      <c r="I115" s="52" t="str">
        <f t="shared" si="31"/>
        <v/>
      </c>
      <c r="J115" s="52" t="str">
        <f t="shared" si="31"/>
        <v>ICI</v>
      </c>
      <c r="K115" s="52" t="str">
        <f t="shared" si="31"/>
        <v>ICI</v>
      </c>
      <c r="L115" s="52" t="str">
        <f t="shared" si="31"/>
        <v>ICI</v>
      </c>
      <c r="M115" s="52" t="str">
        <f t="shared" si="31"/>
        <v>ICI</v>
      </c>
      <c r="N115" s="52" t="str">
        <f t="shared" si="31"/>
        <v>ICI</v>
      </c>
      <c r="O115" s="52" t="str">
        <f t="shared" si="31"/>
        <v>ICI</v>
      </c>
      <c r="P115" s="52" t="str">
        <f t="shared" si="31"/>
        <v>ICI</v>
      </c>
      <c r="Q115" s="52" t="str">
        <f t="shared" si="31"/>
        <v>ICI</v>
      </c>
      <c r="R115" s="52" t="str">
        <f t="shared" si="31"/>
        <v>ICI</v>
      </c>
      <c r="S115" s="52" t="str">
        <f t="shared" si="31"/>
        <v>ICI</v>
      </c>
      <c r="T115" s="52" t="str">
        <f t="shared" si="31"/>
        <v>ICI</v>
      </c>
      <c r="U115" s="52" t="str">
        <f t="shared" si="31"/>
        <v>ICI</v>
      </c>
      <c r="V115" s="52" t="str">
        <f t="shared" si="31"/>
        <v>ICI</v>
      </c>
      <c r="W115" s="52" t="str">
        <f t="shared" si="31"/>
        <v>ICI</v>
      </c>
      <c r="X115" s="52" t="str">
        <f t="shared" si="31"/>
        <v>ICI</v>
      </c>
    </row>
    <row r="116" spans="1:24" x14ac:dyDescent="0.25">
      <c r="A116" s="52" t="str">
        <f t="shared" si="31"/>
        <v>ICI</v>
      </c>
      <c r="B116" s="52" t="str">
        <f t="shared" si="31"/>
        <v>ICI</v>
      </c>
      <c r="C116" s="52" t="str">
        <f t="shared" si="31"/>
        <v>ICI</v>
      </c>
      <c r="D116" s="52" t="str">
        <f t="shared" si="31"/>
        <v>ICI</v>
      </c>
      <c r="E116" s="52" t="str">
        <f t="shared" si="31"/>
        <v>ICI</v>
      </c>
      <c r="F116" s="52" t="str">
        <f t="shared" si="31"/>
        <v>ICI</v>
      </c>
      <c r="G116" s="52" t="str">
        <f t="shared" si="31"/>
        <v/>
      </c>
      <c r="H116" s="52" t="str">
        <f t="shared" si="31"/>
        <v/>
      </c>
      <c r="I116" s="52" t="str">
        <f t="shared" si="31"/>
        <v/>
      </c>
      <c r="J116" s="52" t="str">
        <f t="shared" si="31"/>
        <v>ICI</v>
      </c>
      <c r="K116" s="52" t="str">
        <f t="shared" si="31"/>
        <v>ICI</v>
      </c>
      <c r="L116" s="52" t="str">
        <f t="shared" si="31"/>
        <v>ICI</v>
      </c>
      <c r="M116" s="52" t="str">
        <f t="shared" si="31"/>
        <v>ICI</v>
      </c>
      <c r="N116" s="52" t="str">
        <f t="shared" si="31"/>
        <v>ICI</v>
      </c>
      <c r="O116" s="52" t="str">
        <f t="shared" si="31"/>
        <v>ICI</v>
      </c>
      <c r="P116" s="52" t="str">
        <f t="shared" si="31"/>
        <v>ICI</v>
      </c>
      <c r="Q116" s="52" t="str">
        <f t="shared" si="31"/>
        <v>ICI</v>
      </c>
      <c r="R116" s="52" t="str">
        <f t="shared" si="31"/>
        <v>ICI</v>
      </c>
      <c r="S116" s="52" t="str">
        <f t="shared" si="31"/>
        <v>ICI</v>
      </c>
      <c r="T116" s="52" t="str">
        <f t="shared" si="31"/>
        <v>ICI</v>
      </c>
      <c r="U116" s="52" t="str">
        <f t="shared" si="31"/>
        <v>ICI</v>
      </c>
      <c r="V116" s="52" t="str">
        <f t="shared" si="31"/>
        <v>ICI</v>
      </c>
      <c r="W116" s="52" t="str">
        <f t="shared" si="31"/>
        <v>ICI</v>
      </c>
      <c r="X116" s="52" t="str">
        <f t="shared" si="31"/>
        <v>ICI</v>
      </c>
    </row>
    <row r="117" spans="1:24" x14ac:dyDescent="0.25">
      <c r="A117" s="52" t="str">
        <f t="shared" si="31"/>
        <v>ICI</v>
      </c>
      <c r="B117" s="52" t="str">
        <f t="shared" si="31"/>
        <v>ICI</v>
      </c>
      <c r="C117" s="52" t="str">
        <f t="shared" si="31"/>
        <v>ICI</v>
      </c>
      <c r="D117" s="52" t="str">
        <f t="shared" si="31"/>
        <v>ICI</v>
      </c>
      <c r="E117" s="52" t="str">
        <f t="shared" si="31"/>
        <v>ICI</v>
      </c>
      <c r="F117" s="52" t="str">
        <f t="shared" si="31"/>
        <v>ICI</v>
      </c>
      <c r="G117" s="52" t="str">
        <f t="shared" si="31"/>
        <v/>
      </c>
      <c r="H117" s="52" t="str">
        <f t="shared" si="31"/>
        <v/>
      </c>
      <c r="I117" s="52" t="str">
        <f t="shared" si="31"/>
        <v/>
      </c>
      <c r="J117" s="52" t="str">
        <f t="shared" si="31"/>
        <v>ICI</v>
      </c>
      <c r="K117" s="52" t="str">
        <f t="shared" si="31"/>
        <v>ICI</v>
      </c>
      <c r="L117" s="52" t="str">
        <f t="shared" si="31"/>
        <v>ICI</v>
      </c>
      <c r="M117" s="52" t="str">
        <f t="shared" si="31"/>
        <v>ICI</v>
      </c>
      <c r="N117" s="52" t="str">
        <f t="shared" si="31"/>
        <v>ICI</v>
      </c>
      <c r="O117" s="52" t="str">
        <f t="shared" si="31"/>
        <v>ICI</v>
      </c>
      <c r="P117" s="52" t="str">
        <f t="shared" si="31"/>
        <v>ICI</v>
      </c>
      <c r="Q117" s="52" t="str">
        <f t="shared" si="31"/>
        <v>ICI</v>
      </c>
      <c r="R117" s="52" t="str">
        <f t="shared" si="31"/>
        <v>ICI</v>
      </c>
      <c r="S117" s="52" t="str">
        <f t="shared" si="31"/>
        <v>ICI</v>
      </c>
      <c r="T117" s="52" t="str">
        <f t="shared" si="31"/>
        <v>ICI</v>
      </c>
      <c r="U117" s="52" t="str">
        <f t="shared" si="31"/>
        <v>ICI</v>
      </c>
      <c r="V117" s="52" t="str">
        <f t="shared" si="31"/>
        <v>ICI</v>
      </c>
      <c r="W117" s="52" t="str">
        <f t="shared" si="31"/>
        <v>ICI</v>
      </c>
      <c r="X117" s="52" t="str">
        <f t="shared" si="31"/>
        <v>ICI</v>
      </c>
    </row>
    <row r="118" spans="1:24" x14ac:dyDescent="0.25">
      <c r="A118" s="52" t="str">
        <f t="shared" si="31"/>
        <v>ICI</v>
      </c>
      <c r="B118" s="52" t="str">
        <f t="shared" si="31"/>
        <v>ICI</v>
      </c>
      <c r="C118" s="52" t="str">
        <f t="shared" si="31"/>
        <v>ICI</v>
      </c>
      <c r="D118" s="52" t="str">
        <f t="shared" si="31"/>
        <v>ICI</v>
      </c>
      <c r="E118" s="52" t="str">
        <f t="shared" si="31"/>
        <v>ICI</v>
      </c>
      <c r="F118" s="52" t="str">
        <f t="shared" si="31"/>
        <v>ICI</v>
      </c>
      <c r="G118" s="52" t="str">
        <f t="shared" si="31"/>
        <v/>
      </c>
      <c r="H118" s="52" t="str">
        <f t="shared" si="31"/>
        <v/>
      </c>
      <c r="I118" s="52" t="str">
        <f t="shared" si="31"/>
        <v/>
      </c>
      <c r="J118" s="52" t="str">
        <f t="shared" si="31"/>
        <v>ICI</v>
      </c>
      <c r="K118" s="52" t="str">
        <f t="shared" si="31"/>
        <v>ICI</v>
      </c>
      <c r="L118" s="52" t="str">
        <f t="shared" si="31"/>
        <v>ICI</v>
      </c>
      <c r="M118" s="52" t="str">
        <f t="shared" si="31"/>
        <v>ICI</v>
      </c>
      <c r="N118" s="52" t="str">
        <f t="shared" si="31"/>
        <v>ICI</v>
      </c>
      <c r="O118" s="52" t="str">
        <f t="shared" si="31"/>
        <v>ICI</v>
      </c>
      <c r="P118" s="52" t="str">
        <f t="shared" si="31"/>
        <v>ICI</v>
      </c>
      <c r="Q118" s="52" t="str">
        <f t="shared" si="31"/>
        <v>ICI</v>
      </c>
      <c r="R118" s="52" t="str">
        <f t="shared" si="31"/>
        <v>ICI</v>
      </c>
      <c r="S118" s="52" t="str">
        <f t="shared" si="31"/>
        <v>ICI</v>
      </c>
      <c r="T118" s="52" t="str">
        <f t="shared" si="31"/>
        <v>ICI</v>
      </c>
      <c r="U118" s="52" t="str">
        <f t="shared" si="31"/>
        <v>ICI</v>
      </c>
      <c r="V118" s="52" t="str">
        <f t="shared" si="31"/>
        <v>ICI</v>
      </c>
      <c r="W118" s="52" t="str">
        <f t="shared" si="31"/>
        <v>ICI</v>
      </c>
      <c r="X118" s="52" t="str">
        <f t="shared" si="31"/>
        <v>ICI</v>
      </c>
    </row>
    <row r="119" spans="1:24" x14ac:dyDescent="0.25">
      <c r="A119" s="52" t="str">
        <f t="shared" si="31"/>
        <v>ICI</v>
      </c>
      <c r="B119" s="52" t="str">
        <f t="shared" si="31"/>
        <v>ICI</v>
      </c>
      <c r="C119" s="52" t="str">
        <f t="shared" si="31"/>
        <v>ICI</v>
      </c>
      <c r="D119" s="52" t="str">
        <f t="shared" si="31"/>
        <v>ICI</v>
      </c>
      <c r="E119" s="52" t="str">
        <f t="shared" si="31"/>
        <v>ICI</v>
      </c>
      <c r="F119" s="52" t="str">
        <f t="shared" si="31"/>
        <v>ICI</v>
      </c>
      <c r="G119" s="52" t="str">
        <f t="shared" si="31"/>
        <v/>
      </c>
      <c r="H119" s="52" t="str">
        <f t="shared" si="31"/>
        <v/>
      </c>
      <c r="I119" s="52" t="str">
        <f t="shared" si="31"/>
        <v/>
      </c>
      <c r="J119" s="52" t="str">
        <f t="shared" si="31"/>
        <v>ICI</v>
      </c>
      <c r="K119" s="52" t="str">
        <f t="shared" si="31"/>
        <v>ICI</v>
      </c>
      <c r="L119" s="52" t="str">
        <f t="shared" si="31"/>
        <v>ICI</v>
      </c>
      <c r="M119" s="52" t="str">
        <f t="shared" si="31"/>
        <v>ICI</v>
      </c>
      <c r="N119" s="52" t="str">
        <f t="shared" si="31"/>
        <v>ICI</v>
      </c>
      <c r="O119" s="52" t="str">
        <f t="shared" si="31"/>
        <v>ICI</v>
      </c>
      <c r="P119" s="52" t="str">
        <f t="shared" si="31"/>
        <v>ICI</v>
      </c>
      <c r="Q119" s="52" t="str">
        <f t="shared" si="31"/>
        <v>ICI</v>
      </c>
      <c r="R119" s="52" t="str">
        <f t="shared" si="31"/>
        <v>ICI</v>
      </c>
      <c r="S119" s="52" t="str">
        <f t="shared" si="31"/>
        <v>ICI</v>
      </c>
      <c r="T119" s="52" t="str">
        <f t="shared" si="31"/>
        <v>ICI</v>
      </c>
      <c r="U119" s="52" t="str">
        <f t="shared" si="31"/>
        <v>ICI</v>
      </c>
      <c r="V119" s="52" t="str">
        <f t="shared" si="31"/>
        <v>ICI</v>
      </c>
      <c r="W119" s="52" t="str">
        <f t="shared" si="31"/>
        <v>ICI</v>
      </c>
      <c r="X119" s="52" t="str">
        <f t="shared" si="31"/>
        <v>ICI</v>
      </c>
    </row>
    <row r="120" spans="1:24" x14ac:dyDescent="0.25">
      <c r="A120" s="52" t="str">
        <f t="shared" si="31"/>
        <v>ICI</v>
      </c>
      <c r="B120" s="52" t="str">
        <f t="shared" si="31"/>
        <v>ICI</v>
      </c>
      <c r="C120" s="52" t="str">
        <f t="shared" si="31"/>
        <v>ICI</v>
      </c>
      <c r="D120" s="52" t="str">
        <f t="shared" si="31"/>
        <v>ICI</v>
      </c>
      <c r="E120" s="52" t="str">
        <f t="shared" si="31"/>
        <v>ICI</v>
      </c>
      <c r="F120" s="52" t="str">
        <f t="shared" si="31"/>
        <v>ICI</v>
      </c>
      <c r="G120" s="52" t="str">
        <f t="shared" si="31"/>
        <v>ICI</v>
      </c>
      <c r="H120" s="52" t="str">
        <f t="shared" si="31"/>
        <v/>
      </c>
      <c r="I120" s="52" t="str">
        <f t="shared" si="31"/>
        <v/>
      </c>
      <c r="J120" s="52" t="str">
        <f t="shared" si="31"/>
        <v>ICI</v>
      </c>
      <c r="K120" s="52" t="str">
        <f t="shared" si="31"/>
        <v>ICI</v>
      </c>
      <c r="L120" s="52" t="str">
        <f t="shared" si="31"/>
        <v>ICI</v>
      </c>
      <c r="M120" s="52" t="str">
        <f t="shared" si="31"/>
        <v>ICI</v>
      </c>
      <c r="N120" s="52" t="str">
        <f t="shared" si="31"/>
        <v>ICI</v>
      </c>
      <c r="O120" s="52" t="str">
        <f t="shared" si="31"/>
        <v>ICI</v>
      </c>
      <c r="P120" s="52" t="str">
        <f t="shared" si="31"/>
        <v>ICI</v>
      </c>
      <c r="Q120" s="52" t="str">
        <f t="shared" si="31"/>
        <v>ICI</v>
      </c>
      <c r="R120" s="52" t="str">
        <f t="shared" si="31"/>
        <v>ICI</v>
      </c>
      <c r="S120" s="52" t="str">
        <f t="shared" si="31"/>
        <v>ICI</v>
      </c>
      <c r="T120" s="52" t="str">
        <f t="shared" si="31"/>
        <v>ICI</v>
      </c>
      <c r="U120" s="52" t="str">
        <f t="shared" si="31"/>
        <v>ICI</v>
      </c>
      <c r="V120" s="52" t="str">
        <f t="shared" si="31"/>
        <v>ICI</v>
      </c>
      <c r="W120" s="52" t="str">
        <f t="shared" si="31"/>
        <v>ICI</v>
      </c>
      <c r="X120" s="52" t="str">
        <f t="shared" si="31"/>
        <v>ICI</v>
      </c>
    </row>
    <row r="121" spans="1:24" x14ac:dyDescent="0.25">
      <c r="A121" s="52" t="str">
        <f t="shared" si="31"/>
        <v>ICI</v>
      </c>
      <c r="B121" s="52" t="str">
        <f t="shared" si="31"/>
        <v>ICI</v>
      </c>
      <c r="C121" s="52" t="str">
        <f t="shared" si="31"/>
        <v>ICI</v>
      </c>
      <c r="D121" s="52" t="str">
        <f t="shared" si="31"/>
        <v>ICI</v>
      </c>
      <c r="E121" s="52" t="str">
        <f t="shared" si="31"/>
        <v>ICI</v>
      </c>
      <c r="F121" s="52" t="str">
        <f t="shared" si="31"/>
        <v>ICI</v>
      </c>
      <c r="G121" s="52" t="str">
        <f t="shared" si="31"/>
        <v>ICI</v>
      </c>
      <c r="H121" s="52" t="str">
        <f t="shared" si="31"/>
        <v/>
      </c>
      <c r="I121" s="52" t="str">
        <f t="shared" si="31"/>
        <v/>
      </c>
      <c r="J121" s="52" t="str">
        <f t="shared" si="31"/>
        <v>ICI</v>
      </c>
      <c r="K121" s="52" t="str">
        <f t="shared" si="31"/>
        <v>ICI</v>
      </c>
      <c r="L121" s="52" t="str">
        <f t="shared" si="31"/>
        <v>ICI</v>
      </c>
      <c r="M121" s="52" t="str">
        <f t="shared" si="31"/>
        <v>ICI</v>
      </c>
      <c r="N121" s="52" t="str">
        <f t="shared" si="31"/>
        <v/>
      </c>
      <c r="O121" s="52" t="str">
        <f t="shared" si="31"/>
        <v/>
      </c>
      <c r="P121" s="52" t="str">
        <f t="shared" si="31"/>
        <v/>
      </c>
      <c r="Q121" s="52" t="str">
        <f t="shared" si="31"/>
        <v/>
      </c>
      <c r="R121" s="52" t="str">
        <f t="shared" si="31"/>
        <v/>
      </c>
      <c r="S121" s="52" t="str">
        <f t="shared" si="31"/>
        <v/>
      </c>
      <c r="T121" s="52" t="str">
        <f t="shared" si="31"/>
        <v/>
      </c>
      <c r="U121" s="52" t="str">
        <f t="shared" si="31"/>
        <v/>
      </c>
      <c r="V121" s="52" t="str">
        <f t="shared" si="31"/>
        <v/>
      </c>
      <c r="W121" s="52" t="str">
        <f t="shared" si="31"/>
        <v>ICI</v>
      </c>
      <c r="X121" s="52" t="str">
        <f t="shared" si="31"/>
        <v>ICI</v>
      </c>
    </row>
  </sheetData>
  <mergeCells count="4">
    <mergeCell ref="A1:B1"/>
    <mergeCell ref="C1:F1"/>
    <mergeCell ref="G1:I1"/>
    <mergeCell ref="J1:X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V121"/>
  <sheetViews>
    <sheetView zoomScale="85" zoomScaleNormal="85" workbookViewId="0">
      <selection activeCell="AQ2" sqref="AQ2"/>
    </sheetView>
  </sheetViews>
  <sheetFormatPr baseColWidth="10" defaultColWidth="5.140625" defaultRowHeight="15" outlineLevelCol="1" x14ac:dyDescent="0.25"/>
  <cols>
    <col min="1" max="1" width="46.7109375" style="52" bestFit="1" customWidth="1"/>
    <col min="2" max="2" width="45" style="52" bestFit="1" customWidth="1"/>
    <col min="3" max="24" width="5.140625" style="52" hidden="1" customWidth="1" outlineLevel="1"/>
    <col min="25" max="25" width="5.140625" style="52" collapsed="1"/>
    <col min="26" max="26" width="5.140625" style="52" customWidth="1"/>
    <col min="27" max="27" width="19.140625" style="52" hidden="1" customWidth="1" outlineLevel="1"/>
    <col min="28" max="28" width="16" style="52" customWidth="1" collapsed="1"/>
    <col min="29" max="29" width="17" style="52" hidden="1" customWidth="1" outlineLevel="1"/>
    <col min="30" max="30" width="8" style="52" hidden="1" customWidth="1" outlineLevel="1"/>
    <col min="31" max="31" width="17" style="52" hidden="1" customWidth="1" outlineLevel="1"/>
    <col min="32" max="32" width="14.7109375" style="52" hidden="1" customWidth="1" outlineLevel="1"/>
    <col min="33" max="33" width="5.28515625" style="52" hidden="1" customWidth="1" outlineLevel="1"/>
    <col min="34" max="34" width="16.5703125" style="52" hidden="1" customWidth="1" outlineLevel="1"/>
    <col min="35" max="35" width="24.7109375" style="52" hidden="1" customWidth="1" outlineLevel="1"/>
    <col min="36" max="36" width="23.42578125" style="52" hidden="1" customWidth="1" outlineLevel="1"/>
    <col min="37" max="38" width="5.140625" style="52" hidden="1" customWidth="1" outlineLevel="1"/>
    <col min="39" max="39" width="13.5703125" style="52" hidden="1" customWidth="1" outlineLevel="1"/>
    <col min="40" max="40" width="11" style="52" hidden="1" customWidth="1" outlineLevel="1"/>
    <col min="41" max="41" width="5.140625" style="52" hidden="1" customWidth="1" outlineLevel="1"/>
    <col min="42" max="42" width="22.28515625" style="52" hidden="1" customWidth="1" outlineLevel="1"/>
    <col min="43" max="43" width="12" style="52" bestFit="1" customWidth="1" collapsed="1"/>
    <col min="44" max="46" width="5.140625" style="52"/>
    <col min="47" max="47" width="20.85546875" style="52" bestFit="1" customWidth="1"/>
    <col min="74" max="98" width="5.140625" style="2"/>
    <col min="127" max="16384" width="5.140625" style="2"/>
  </cols>
  <sheetData>
    <row r="1" spans="1:126" ht="15.75" thickBot="1" x14ac:dyDescent="0.3">
      <c r="A1" s="57" t="s">
        <v>36</v>
      </c>
      <c r="B1" s="58"/>
      <c r="C1" s="57" t="s">
        <v>8</v>
      </c>
      <c r="D1" s="59"/>
      <c r="E1" s="59"/>
      <c r="F1" s="58"/>
      <c r="G1" s="60" t="s">
        <v>19</v>
      </c>
      <c r="H1" s="61"/>
      <c r="I1" s="62"/>
      <c r="J1" s="63" t="s">
        <v>6</v>
      </c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5"/>
      <c r="Y1" s="22"/>
      <c r="Z1" s="6" t="s">
        <v>7</v>
      </c>
      <c r="AA1" s="2" t="s">
        <v>20</v>
      </c>
      <c r="AB1" s="2" t="s">
        <v>92</v>
      </c>
      <c r="AC1" s="2" t="s">
        <v>17</v>
      </c>
      <c r="AD1" s="2" t="s">
        <v>9</v>
      </c>
      <c r="AE1" s="2"/>
      <c r="AF1" s="2"/>
      <c r="AG1" s="2"/>
      <c r="AH1" s="2"/>
      <c r="AI1" s="2"/>
      <c r="AJ1" s="2"/>
      <c r="AK1" s="2"/>
      <c r="AL1" s="2"/>
      <c r="AM1" s="2"/>
      <c r="AN1" s="2" t="s">
        <v>12</v>
      </c>
      <c r="AO1" s="2"/>
      <c r="AP1" s="2"/>
      <c r="AQ1" s="2" t="s">
        <v>11</v>
      </c>
      <c r="AR1" s="2"/>
      <c r="AS1" s="2"/>
      <c r="AT1" s="2"/>
      <c r="AU1" s="5" t="s">
        <v>35</v>
      </c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</row>
    <row r="2" spans="1:126" ht="15.75" thickBot="1" x14ac:dyDescent="0.3">
      <c r="A2" s="7" t="s">
        <v>0</v>
      </c>
      <c r="B2" s="8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1"/>
      <c r="H2" s="1"/>
      <c r="I2" s="1"/>
      <c r="J2" s="7">
        <v>1</v>
      </c>
      <c r="K2" s="8">
        <v>2</v>
      </c>
      <c r="L2" s="8">
        <v>3</v>
      </c>
      <c r="M2" s="8">
        <v>4</v>
      </c>
      <c r="N2" s="8">
        <v>5</v>
      </c>
      <c r="O2" s="8">
        <f>N2+1</f>
        <v>6</v>
      </c>
      <c r="P2" s="8">
        <f t="shared" ref="P2:X2" si="0">O2+1</f>
        <v>7</v>
      </c>
      <c r="Q2" s="8">
        <f t="shared" si="0"/>
        <v>8</v>
      </c>
      <c r="R2" s="8">
        <f t="shared" si="0"/>
        <v>9</v>
      </c>
      <c r="S2" s="8">
        <f t="shared" si="0"/>
        <v>10</v>
      </c>
      <c r="T2" s="8">
        <f t="shared" si="0"/>
        <v>11</v>
      </c>
      <c r="U2" s="8">
        <f t="shared" si="0"/>
        <v>12</v>
      </c>
      <c r="V2" s="8">
        <f t="shared" si="0"/>
        <v>13</v>
      </c>
      <c r="W2" s="8">
        <f t="shared" si="0"/>
        <v>14</v>
      </c>
      <c r="X2" s="14">
        <f t="shared" si="0"/>
        <v>15</v>
      </c>
      <c r="Y2" s="2"/>
      <c r="Z2" s="5"/>
      <c r="AA2" s="2"/>
      <c r="AB2" s="2"/>
      <c r="AC2" s="2">
        <v>15</v>
      </c>
      <c r="AD2" s="2" t="s">
        <v>15</v>
      </c>
      <c r="AE2" s="2" t="s">
        <v>16</v>
      </c>
      <c r="AF2" s="3" t="s">
        <v>2</v>
      </c>
      <c r="AG2" s="3" t="s">
        <v>3</v>
      </c>
      <c r="AH2" s="3" t="s">
        <v>4</v>
      </c>
      <c r="AI2" s="3" t="s">
        <v>5</v>
      </c>
      <c r="AJ2" s="2" t="s">
        <v>18</v>
      </c>
      <c r="AK2" s="2"/>
      <c r="AL2" s="2"/>
      <c r="AM2" s="2" t="s">
        <v>13</v>
      </c>
      <c r="AN2" s="2">
        <f>MAX(AE3:AE17)</f>
        <v>5</v>
      </c>
      <c r="AO2" s="2"/>
      <c r="AP2" s="2"/>
      <c r="AQ2" s="2">
        <f>SUM(AA3:AA52)+SUM(AJ3:AL15)</f>
        <v>952</v>
      </c>
      <c r="AR2" s="2"/>
      <c r="AS2" s="2"/>
      <c r="AT2" s="2"/>
      <c r="AU2" s="6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</row>
    <row r="3" spans="1:126" ht="16.5" thickTop="1" thickBot="1" x14ac:dyDescent="0.3">
      <c r="A3" s="25" t="s">
        <v>37</v>
      </c>
      <c r="B3" s="26" t="s">
        <v>38</v>
      </c>
      <c r="C3" s="27">
        <v>5</v>
      </c>
      <c r="D3" s="27">
        <v>4</v>
      </c>
      <c r="E3" s="27">
        <v>5</v>
      </c>
      <c r="F3" s="28">
        <v>4</v>
      </c>
      <c r="G3" s="29"/>
      <c r="H3" s="29"/>
      <c r="I3" s="26"/>
      <c r="J3" s="27">
        <v>15</v>
      </c>
      <c r="K3" s="27">
        <v>13</v>
      </c>
      <c r="L3" s="27">
        <v>10</v>
      </c>
      <c r="M3" s="27">
        <v>7</v>
      </c>
      <c r="N3" s="27">
        <v>14</v>
      </c>
      <c r="O3" s="27">
        <v>6</v>
      </c>
      <c r="P3" s="27">
        <v>5</v>
      </c>
      <c r="Q3" s="27">
        <v>1</v>
      </c>
      <c r="R3" s="27">
        <v>12</v>
      </c>
      <c r="S3" s="27">
        <v>8</v>
      </c>
      <c r="T3" s="27">
        <v>4</v>
      </c>
      <c r="U3" s="27">
        <v>3</v>
      </c>
      <c r="V3" s="27">
        <v>2</v>
      </c>
      <c r="W3" s="27">
        <v>9</v>
      </c>
      <c r="X3" s="28">
        <v>11</v>
      </c>
      <c r="Y3" s="2"/>
      <c r="Z3" s="13">
        <v>13</v>
      </c>
      <c r="AA3" s="2">
        <f>(_xlfn.IFNA(MATCH(Z3,J3:X3,0)-1,15-COUNTBLANK(J3:X3))^2)*AU3</f>
        <v>5</v>
      </c>
      <c r="AB3" s="13">
        <f>_xlfn.IFNA(MATCH(Z3,J3:X3,0)-1,15-COUNTBLANK(J3:X3))+1</f>
        <v>2</v>
      </c>
      <c r="AC3" s="2"/>
      <c r="AD3" s="2">
        <v>1</v>
      </c>
      <c r="AE3" s="2">
        <f>IF(SUMIF(Z$3:Z$55,AD3,AU$3:AU$55)=0,"",SUMIF(Z$3:Z$55,AD3,AU$3:AU$55))</f>
        <v>5</v>
      </c>
      <c r="AF3" s="2">
        <f t="array" ref="AF3">IF($AE3&lt;&gt;"",((5-MAX(IF($Z$3:$Z$53=$AD3,C$3:C$53,"")))*2)^2,"")</f>
        <v>0</v>
      </c>
      <c r="AG3" s="2">
        <f t="array" ref="AG3">IF($AE3&lt;&gt;"",((5-MAX(IF($Z$3:$Z$53=$AD3,D$3:D$53,"")))*2)^2,"")</f>
        <v>0</v>
      </c>
      <c r="AH3" s="2">
        <f t="array" ref="AH3">IF($AE3&lt;&gt;"",((5-MAX(IF($Z$3:$Z$53=$AD3,E$3:E$53,"")))*2)^2,"")</f>
        <v>4</v>
      </c>
      <c r="AI3" s="2">
        <f t="array" ref="AI3">IF($AE3&lt;&gt;"",((5-MAX(IF($Z$3:$Z$53=$AD3,F$3:F$53,"")))*2)^2,"")</f>
        <v>4</v>
      </c>
      <c r="AJ3" s="2">
        <f>SUM(AF3:AI3)</f>
        <v>8</v>
      </c>
      <c r="AK3" s="2"/>
      <c r="AL3" s="2"/>
      <c r="AM3" s="2" t="s">
        <v>14</v>
      </c>
      <c r="AN3" s="2">
        <f>MIN(AE3:AE17)</f>
        <v>4</v>
      </c>
      <c r="AO3" s="2"/>
      <c r="AP3" s="2"/>
      <c r="AQ3" s="2"/>
      <c r="AR3" s="2"/>
      <c r="AS3" s="2"/>
      <c r="AT3" s="2"/>
      <c r="AU3" s="49">
        <v>5</v>
      </c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</row>
    <row r="4" spans="1:126" ht="15.75" thickBot="1" x14ac:dyDescent="0.3">
      <c r="A4" s="30" t="s">
        <v>93</v>
      </c>
      <c r="B4" s="31" t="s">
        <v>94</v>
      </c>
      <c r="C4" s="32">
        <v>5</v>
      </c>
      <c r="D4" s="32">
        <v>5</v>
      </c>
      <c r="E4" s="32">
        <v>4</v>
      </c>
      <c r="F4" s="33">
        <v>4</v>
      </c>
      <c r="G4" s="34"/>
      <c r="H4" s="34"/>
      <c r="I4" s="31"/>
      <c r="J4" s="32">
        <v>10</v>
      </c>
      <c r="K4" s="32">
        <v>6</v>
      </c>
      <c r="L4" s="35">
        <v>8</v>
      </c>
      <c r="M4" s="36">
        <v>5</v>
      </c>
      <c r="N4" s="32">
        <v>12</v>
      </c>
      <c r="O4" s="35">
        <v>1</v>
      </c>
      <c r="P4" s="35">
        <v>14</v>
      </c>
      <c r="Q4" s="36">
        <v>9</v>
      </c>
      <c r="R4" s="32">
        <v>2</v>
      </c>
      <c r="S4" s="35">
        <v>3</v>
      </c>
      <c r="T4" s="35">
        <v>13</v>
      </c>
      <c r="U4" s="35">
        <v>7</v>
      </c>
      <c r="V4" s="36">
        <v>15</v>
      </c>
      <c r="W4" s="32">
        <v>4</v>
      </c>
      <c r="X4" s="32">
        <v>11</v>
      </c>
      <c r="Y4" s="2"/>
      <c r="Z4" s="13">
        <v>6</v>
      </c>
      <c r="AA4" s="2">
        <f t="shared" ref="AA4:AA31" si="1">(_xlfn.IFNA(MATCH(Z4,J4:X4,0)-1,15-COUNTBLANK(J4:X4))^2)*AU4</f>
        <v>5</v>
      </c>
      <c r="AB4" s="13">
        <f t="shared" ref="AB4:AB8" si="2">_xlfn.IFNA(MATCH(Z4,J4:X4,0)-1,15-COUNTBLANK(J4:X4))+1</f>
        <v>2</v>
      </c>
      <c r="AC4" s="2"/>
      <c r="AD4" s="2">
        <v>2</v>
      </c>
      <c r="AE4" s="2">
        <f t="array" ref="AE4">IF(SUMIF(Z$3:Z$55,AD4,AU$3:AU$55)=0,"",SUMIF(Z$3:Z$55,AD4,AU$3:AU$55))</f>
        <v>4</v>
      </c>
      <c r="AF4" s="2">
        <f t="array" ref="AF4">IF($AE4&lt;&gt;"",((5-MAX(IF($Z$3:$Z$53=$AD4,C$3:C$53,"")))*2)^2,"")</f>
        <v>0</v>
      </c>
      <c r="AG4" s="2">
        <f t="array" ref="AG4">IF($AE4&lt;&gt;"",((5-MAX(IF($Z$3:$Z$53=$AD4,D$3:D$53,"")))*2)^2,"")</f>
        <v>0</v>
      </c>
      <c r="AH4" s="2">
        <f t="array" ref="AH4">IF($AE4&lt;&gt;"",((5-MAX(IF($Z$3:$Z$53=$AD4,E$3:E$53,"")))*2)^2,"")</f>
        <v>0</v>
      </c>
      <c r="AI4" s="2">
        <f t="array" ref="AI4">IF($AE4&lt;&gt;"",((5-MAX(IF($Z$3:$Z$53=$AD4,F$3:F$53,"")))*2)^2,"")</f>
        <v>0</v>
      </c>
      <c r="AJ4" s="2">
        <f t="shared" ref="AJ4:AJ17" si="3">SUM(AF4:AI4)</f>
        <v>0</v>
      </c>
      <c r="AK4" s="2"/>
      <c r="AL4" s="2"/>
      <c r="AM4" s="2"/>
      <c r="AN4" s="2"/>
      <c r="AO4" s="2"/>
      <c r="AP4" s="2"/>
      <c r="AQ4" s="2"/>
      <c r="AR4" s="2"/>
      <c r="AS4" s="2"/>
      <c r="AT4" s="2"/>
      <c r="AU4" s="50">
        <v>5</v>
      </c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</row>
    <row r="5" spans="1:126" ht="15.75" thickBot="1" x14ac:dyDescent="0.3">
      <c r="A5" s="37" t="s">
        <v>39</v>
      </c>
      <c r="B5" s="31" t="s">
        <v>40</v>
      </c>
      <c r="C5" s="32">
        <v>4</v>
      </c>
      <c r="D5" s="32">
        <v>4</v>
      </c>
      <c r="E5" s="32">
        <v>3</v>
      </c>
      <c r="F5" s="33">
        <v>4</v>
      </c>
      <c r="G5" s="34"/>
      <c r="H5" s="34"/>
      <c r="I5" s="31"/>
      <c r="J5" s="32">
        <v>13</v>
      </c>
      <c r="K5" s="32">
        <v>10</v>
      </c>
      <c r="L5" s="32">
        <v>2</v>
      </c>
      <c r="M5" s="32">
        <v>14</v>
      </c>
      <c r="N5" s="32">
        <v>3</v>
      </c>
      <c r="O5" s="32">
        <v>8</v>
      </c>
      <c r="P5" s="32">
        <v>1</v>
      </c>
      <c r="Q5" s="32">
        <v>6</v>
      </c>
      <c r="R5" s="32">
        <v>7</v>
      </c>
      <c r="S5" s="32">
        <v>9</v>
      </c>
      <c r="T5" s="32">
        <v>15</v>
      </c>
      <c r="U5" s="32">
        <v>12</v>
      </c>
      <c r="V5" s="32">
        <v>11</v>
      </c>
      <c r="W5" s="32">
        <v>5</v>
      </c>
      <c r="X5" s="33">
        <v>4</v>
      </c>
      <c r="Y5" s="2"/>
      <c r="Z5" s="13">
        <v>10</v>
      </c>
      <c r="AA5" s="2">
        <f t="shared" si="1"/>
        <v>5</v>
      </c>
      <c r="AB5" s="13">
        <f t="shared" si="2"/>
        <v>2</v>
      </c>
      <c r="AC5" s="2"/>
      <c r="AD5" s="2">
        <v>3</v>
      </c>
      <c r="AE5" s="2">
        <f>IF(SUMIF(Z$3:Z$55,AD5,AU$3:AU$55)=0,"",SUMIF(Z$3:Z$55,AD5,AU$3:AU$55))</f>
        <v>5</v>
      </c>
      <c r="AF5" s="2">
        <f t="array" ref="AF5">IF($AE5&lt;&gt;"",((5-MAX(IF($Z$3:$Z$53=$AD5,C$3:C$53,"")))*2)^2,"")</f>
        <v>0</v>
      </c>
      <c r="AG5" s="2">
        <f t="array" ref="AG5">IF($AE5&lt;&gt;"",((5-MAX(IF($Z$3:$Z$53=$AD5,D$3:D$53,"")))*2)^2,"")</f>
        <v>0</v>
      </c>
      <c r="AH5" s="2">
        <f t="array" ref="AH5">IF($AE5&lt;&gt;"",((5-MAX(IF($Z$3:$Z$53=$AD5,E$3:E$53,"")))*2)^2,"")</f>
        <v>4</v>
      </c>
      <c r="AI5" s="2">
        <f t="array" ref="AI5">IF($AE5&lt;&gt;"",((5-MAX(IF($Z$3:$Z$53=$AD5,F$3:F$53,"")))*2)^2,"")</f>
        <v>4</v>
      </c>
      <c r="AJ5" s="2">
        <f t="shared" si="3"/>
        <v>8</v>
      </c>
      <c r="AK5" s="2"/>
      <c r="AL5" s="2"/>
      <c r="AM5" s="2"/>
      <c r="AN5" s="2"/>
      <c r="AO5" s="2"/>
      <c r="AP5" s="2"/>
      <c r="AQ5" s="2"/>
      <c r="AR5" s="2"/>
      <c r="AS5" s="2"/>
      <c r="AT5" s="2"/>
      <c r="AU5" s="50">
        <v>5</v>
      </c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</row>
    <row r="6" spans="1:126" ht="15.75" thickBot="1" x14ac:dyDescent="0.3">
      <c r="A6" s="30" t="s">
        <v>41</v>
      </c>
      <c r="B6" s="31" t="s">
        <v>42</v>
      </c>
      <c r="C6" s="32">
        <v>4</v>
      </c>
      <c r="D6" s="32">
        <v>2</v>
      </c>
      <c r="E6" s="32">
        <v>3</v>
      </c>
      <c r="F6" s="33">
        <v>3</v>
      </c>
      <c r="G6" s="34"/>
      <c r="H6" s="34"/>
      <c r="I6" s="31"/>
      <c r="J6" s="32">
        <v>10</v>
      </c>
      <c r="K6" s="32">
        <v>4</v>
      </c>
      <c r="L6" s="32">
        <v>1</v>
      </c>
      <c r="M6" s="32">
        <v>9</v>
      </c>
      <c r="N6" s="32">
        <v>12</v>
      </c>
      <c r="O6" s="32">
        <v>2</v>
      </c>
      <c r="P6" s="32">
        <v>5</v>
      </c>
      <c r="Q6" s="32">
        <v>6</v>
      </c>
      <c r="R6" s="32">
        <v>11</v>
      </c>
      <c r="S6" s="32">
        <v>3</v>
      </c>
      <c r="T6" s="32">
        <v>15</v>
      </c>
      <c r="U6" s="32">
        <v>7</v>
      </c>
      <c r="V6" s="32">
        <v>13</v>
      </c>
      <c r="W6" s="32">
        <v>14</v>
      </c>
      <c r="X6" s="33">
        <v>8</v>
      </c>
      <c r="Y6" s="2"/>
      <c r="Z6" s="13">
        <v>12</v>
      </c>
      <c r="AA6" s="2">
        <f t="shared" si="1"/>
        <v>16</v>
      </c>
      <c r="AB6" s="13">
        <f t="shared" si="2"/>
        <v>5</v>
      </c>
      <c r="AC6" s="2"/>
      <c r="AD6" s="2">
        <v>4</v>
      </c>
      <c r="AE6" s="2">
        <f>IF(SUMIF(Z$3:Z$55,AD6,AU$3:AU$55)=0,"",SUMIF(Z$3:Z$55,AD6,AU$3:AU$55))</f>
        <v>5</v>
      </c>
      <c r="AF6" s="2">
        <f t="array" ref="AF6">IF($AE6&lt;&gt;"",((5-MAX(IF($Z$3:$Z$53=$AD6,C$3:C$53,"")))*2)^2,"")</f>
        <v>0</v>
      </c>
      <c r="AG6" s="2">
        <f t="array" ref="AG6">IF($AE6&lt;&gt;"",((5-MAX(IF($Z$3:$Z$53=$AD6,D$3:D$53,"")))*2)^2,"")</f>
        <v>4</v>
      </c>
      <c r="AH6" s="2">
        <f t="array" ref="AH6">IF($AE6&lt;&gt;"",((5-MAX(IF($Z$3:$Z$53=$AD6,E$3:E$53,"")))*2)^2,"")</f>
        <v>0</v>
      </c>
      <c r="AI6" s="2">
        <f t="array" ref="AI6">IF($AE6&lt;&gt;"",((5-MAX(IF($Z$3:$Z$53=$AD6,F$3:F$53,"")))*2)^2,"")</f>
        <v>4</v>
      </c>
      <c r="AJ6" s="2">
        <f t="shared" si="3"/>
        <v>8</v>
      </c>
      <c r="AK6" s="2"/>
      <c r="AL6" s="2"/>
      <c r="AM6" s="2"/>
      <c r="AN6" s="2"/>
      <c r="AO6" s="2"/>
      <c r="AP6" s="2"/>
      <c r="AQ6" s="2"/>
      <c r="AR6" s="2"/>
      <c r="AS6" s="2"/>
      <c r="AT6" s="2"/>
      <c r="AU6" s="50">
        <v>1</v>
      </c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</row>
    <row r="7" spans="1:126" ht="15.75" thickBot="1" x14ac:dyDescent="0.3">
      <c r="A7" s="30" t="s">
        <v>80</v>
      </c>
      <c r="B7" s="31" t="s">
        <v>81</v>
      </c>
      <c r="C7" s="32">
        <v>5</v>
      </c>
      <c r="D7" s="32">
        <v>5</v>
      </c>
      <c r="E7" s="32">
        <v>4</v>
      </c>
      <c r="F7" s="33">
        <v>4</v>
      </c>
      <c r="G7" s="34"/>
      <c r="H7" s="34"/>
      <c r="I7" s="31"/>
      <c r="J7" s="32">
        <v>13</v>
      </c>
      <c r="K7" s="32">
        <v>7</v>
      </c>
      <c r="L7" s="32">
        <v>6</v>
      </c>
      <c r="M7" s="32">
        <v>3</v>
      </c>
      <c r="N7" s="32">
        <v>2</v>
      </c>
      <c r="O7" s="32">
        <v>10</v>
      </c>
      <c r="P7" s="32">
        <v>8</v>
      </c>
      <c r="Q7" s="32">
        <v>1</v>
      </c>
      <c r="R7" s="32">
        <v>15</v>
      </c>
      <c r="S7" s="32">
        <v>14</v>
      </c>
      <c r="T7" s="32">
        <v>9</v>
      </c>
      <c r="U7" s="32">
        <v>5</v>
      </c>
      <c r="V7" s="32">
        <v>4</v>
      </c>
      <c r="W7" s="32">
        <v>11</v>
      </c>
      <c r="X7" s="33">
        <v>12</v>
      </c>
      <c r="Y7" s="2"/>
      <c r="Z7" s="13">
        <v>8</v>
      </c>
      <c r="AA7" s="2">
        <f t="shared" si="1"/>
        <v>72</v>
      </c>
      <c r="AB7" s="13">
        <f t="shared" si="2"/>
        <v>7</v>
      </c>
      <c r="AC7" s="2"/>
      <c r="AD7" s="2">
        <v>5</v>
      </c>
      <c r="AE7" s="2">
        <f>IF(SUMIF(Z$3:Z$55,AD7,AU$3:AU$55)=0,"",SUMIF(Z$3:Z$55,AD7,AU$3:AU$55))</f>
        <v>4</v>
      </c>
      <c r="AF7" s="2">
        <f t="array" ref="AF7">IF($AE7&lt;&gt;"",((5-MAX(IF($Z$3:$Z$53=$AD7,C$3:C$53,"")))*2)^2,"")</f>
        <v>16</v>
      </c>
      <c r="AG7" s="2">
        <f t="array" ref="AG7">IF($AE7&lt;&gt;"",((5-MAX(IF($Z$3:$Z$53=$AD7,D$3:D$53,"")))*2)^2,"")</f>
        <v>4</v>
      </c>
      <c r="AH7" s="2">
        <f t="array" ref="AH7">IF($AE7&lt;&gt;"",((5-MAX(IF($Z$3:$Z$53=$AD7,E$3:E$53,"")))*2)^2,"")</f>
        <v>4</v>
      </c>
      <c r="AI7" s="2">
        <f t="array" ref="AI7">IF($AE7&lt;&gt;"",((5-MAX(IF($Z$3:$Z$53=$AD7,F$3:F$53,"")))*2)^2,"")</f>
        <v>4</v>
      </c>
      <c r="AJ7" s="2">
        <f t="shared" si="3"/>
        <v>28</v>
      </c>
      <c r="AK7" s="2"/>
      <c r="AL7" s="2"/>
      <c r="AM7" s="2"/>
      <c r="AN7" s="2"/>
      <c r="AO7" s="2"/>
      <c r="AP7" s="2"/>
      <c r="AQ7" s="2"/>
      <c r="AR7" s="2"/>
      <c r="AS7" s="2"/>
      <c r="AT7" s="2"/>
      <c r="AU7" s="50">
        <v>2</v>
      </c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</row>
    <row r="8" spans="1:126" ht="15.75" thickBot="1" x14ac:dyDescent="0.3">
      <c r="A8" s="30" t="s">
        <v>88</v>
      </c>
      <c r="B8" s="31" t="s">
        <v>89</v>
      </c>
      <c r="C8" s="32">
        <v>5</v>
      </c>
      <c r="D8" s="32">
        <v>5</v>
      </c>
      <c r="E8" s="32">
        <v>4</v>
      </c>
      <c r="F8" s="33">
        <v>4</v>
      </c>
      <c r="G8" s="32">
        <v>7</v>
      </c>
      <c r="H8" s="34"/>
      <c r="I8" s="31"/>
      <c r="J8" s="32">
        <v>7</v>
      </c>
      <c r="K8" s="32">
        <v>13</v>
      </c>
      <c r="L8" s="32">
        <v>14</v>
      </c>
      <c r="M8" s="32">
        <v>10</v>
      </c>
      <c r="N8" s="32">
        <v>2</v>
      </c>
      <c r="O8" s="32">
        <v>1</v>
      </c>
      <c r="P8" s="32">
        <v>5</v>
      </c>
      <c r="Q8" s="32">
        <v>15</v>
      </c>
      <c r="R8" s="32">
        <v>6</v>
      </c>
      <c r="S8" s="32">
        <v>3</v>
      </c>
      <c r="T8" s="32">
        <v>9</v>
      </c>
      <c r="U8" s="36">
        <v>8</v>
      </c>
      <c r="V8" s="32">
        <v>4</v>
      </c>
      <c r="W8" s="32">
        <v>12</v>
      </c>
      <c r="X8" s="32">
        <v>11</v>
      </c>
      <c r="Y8" s="2"/>
      <c r="Z8" s="13">
        <v>1</v>
      </c>
      <c r="AA8" s="2">
        <f t="shared" si="1"/>
        <v>125</v>
      </c>
      <c r="AB8" s="13">
        <f t="shared" si="2"/>
        <v>6</v>
      </c>
      <c r="AC8" s="2"/>
      <c r="AD8" s="2">
        <v>6</v>
      </c>
      <c r="AE8" s="2">
        <f>IF(SUMIF(Z$3:Z$55,AD8,AU$3:AU$55)=0,"",SUMIF(Z$3:Z$55,AD8,AU$3:AU$55))</f>
        <v>5</v>
      </c>
      <c r="AF8" s="2">
        <f t="array" ref="AF8">IF($AE8&lt;&gt;"",((5-MAX(IF($Z$3:$Z$53=$AD8,C$3:C$53,"")))*2)^2,"")</f>
        <v>0</v>
      </c>
      <c r="AG8" s="2">
        <f t="array" ref="AG8">IF($AE8&lt;&gt;"",((5-MAX(IF($Z$3:$Z$53=$AD8,D$3:D$53,"")))*2)^2,"")</f>
        <v>0</v>
      </c>
      <c r="AH8" s="2">
        <f t="array" ref="AH8">IF($AE8&lt;&gt;"",((5-MAX(IF($Z$3:$Z$53=$AD8,E$3:E$53,"")))*2)^2,"")</f>
        <v>4</v>
      </c>
      <c r="AI8" s="2">
        <f t="array" ref="AI8">IF($AE8&lt;&gt;"",((5-MAX(IF($Z$3:$Z$53=$AD8,F$3:F$53,"")))*2)^2,"")</f>
        <v>4</v>
      </c>
      <c r="AJ8" s="2">
        <f t="shared" si="3"/>
        <v>8</v>
      </c>
      <c r="AK8" s="2"/>
      <c r="AL8" s="2"/>
      <c r="AM8" s="2"/>
      <c r="AN8" s="2"/>
      <c r="AO8" s="2"/>
      <c r="AP8" s="2"/>
      <c r="AQ8" s="2"/>
      <c r="AR8" s="2"/>
      <c r="AS8" s="2"/>
      <c r="AT8" s="2"/>
      <c r="AU8" s="50">
        <v>5</v>
      </c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</row>
    <row r="9" spans="1:126" ht="15.75" thickBot="1" x14ac:dyDescent="0.3">
      <c r="A9" s="30" t="s">
        <v>43</v>
      </c>
      <c r="B9" s="31" t="s">
        <v>44</v>
      </c>
      <c r="C9" s="32">
        <v>5</v>
      </c>
      <c r="D9" s="32">
        <v>4</v>
      </c>
      <c r="E9" s="32">
        <v>5</v>
      </c>
      <c r="F9" s="33">
        <v>4</v>
      </c>
      <c r="G9" s="32">
        <v>13</v>
      </c>
      <c r="H9" s="34"/>
      <c r="I9" s="31"/>
      <c r="J9" s="32">
        <v>13</v>
      </c>
      <c r="K9" s="32">
        <v>14</v>
      </c>
      <c r="L9" s="32">
        <v>15</v>
      </c>
      <c r="M9" s="36">
        <v>10</v>
      </c>
      <c r="N9" s="34"/>
      <c r="O9" s="34"/>
      <c r="P9" s="34"/>
      <c r="Q9" s="34"/>
      <c r="R9" s="34"/>
      <c r="S9" s="34"/>
      <c r="T9" s="34"/>
      <c r="U9" s="34"/>
      <c r="V9" s="34"/>
      <c r="W9" s="32">
        <v>12</v>
      </c>
      <c r="X9" s="33">
        <v>11</v>
      </c>
      <c r="Y9" s="2"/>
      <c r="Z9" s="13">
        <v>4</v>
      </c>
      <c r="AA9" s="2">
        <f t="shared" si="1"/>
        <v>180</v>
      </c>
      <c r="AB9" s="13">
        <v>5</v>
      </c>
      <c r="AC9" s="2"/>
      <c r="AD9" s="2">
        <v>7</v>
      </c>
      <c r="AE9" s="2">
        <f>IF(SUMIF(Z$3:Z$55,AD9,AU$3:AU$55)=0,"",SUMIF(Z$3:Z$55,AD9,AU$3:AU$55))</f>
        <v>4</v>
      </c>
      <c r="AF9" s="2">
        <f t="array" ref="AF9">IF($AE9&lt;&gt;"",((5-MAX(IF($Z$3:$Z$53=$AD9,C$3:C$53,"")))*2)^2,"")</f>
        <v>4</v>
      </c>
      <c r="AG9" s="2">
        <f t="array" ref="AG9">IF($AE9&lt;&gt;"",((5-MAX(IF($Z$3:$Z$53=$AD9,D$3:D$53,"")))*2)^2,"")</f>
        <v>0</v>
      </c>
      <c r="AH9" s="2">
        <f t="array" ref="AH9">IF($AE9&lt;&gt;"",((5-MAX(IF($Z$3:$Z$53=$AD9,E$3:E$53,"")))*2)^2,"")</f>
        <v>4</v>
      </c>
      <c r="AI9" s="2">
        <f t="array" ref="AI9">IF($AE9&lt;&gt;"",((5-MAX(IF($Z$3:$Z$53=$AD9,F$3:F$53,"")))*2)^2,"")</f>
        <v>4</v>
      </c>
      <c r="AJ9" s="2">
        <f t="shared" si="3"/>
        <v>12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50">
        <v>5</v>
      </c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</row>
    <row r="10" spans="1:126" ht="15.75" thickBot="1" x14ac:dyDescent="0.3">
      <c r="A10" s="30" t="s">
        <v>82</v>
      </c>
      <c r="B10" s="31" t="s">
        <v>83</v>
      </c>
      <c r="C10" s="32">
        <v>4</v>
      </c>
      <c r="D10" s="32">
        <v>4</v>
      </c>
      <c r="E10" s="32">
        <v>4</v>
      </c>
      <c r="F10" s="33">
        <v>5</v>
      </c>
      <c r="G10" s="34"/>
      <c r="H10" s="34"/>
      <c r="I10" s="38"/>
      <c r="J10" s="39">
        <v>6</v>
      </c>
      <c r="K10" s="40">
        <v>10</v>
      </c>
      <c r="L10" s="39">
        <v>15</v>
      </c>
      <c r="M10" s="39">
        <v>5</v>
      </c>
      <c r="N10" s="39">
        <v>3</v>
      </c>
      <c r="O10" s="39">
        <v>9</v>
      </c>
      <c r="P10" s="39">
        <v>14</v>
      </c>
      <c r="Q10" s="39">
        <v>4</v>
      </c>
      <c r="R10" s="39">
        <v>1</v>
      </c>
      <c r="S10" s="39">
        <v>13</v>
      </c>
      <c r="T10" s="39">
        <v>8</v>
      </c>
      <c r="U10" s="39">
        <v>12</v>
      </c>
      <c r="V10" s="39">
        <v>7</v>
      </c>
      <c r="W10" s="39">
        <v>2</v>
      </c>
      <c r="X10" s="39">
        <v>11</v>
      </c>
      <c r="Y10" s="2"/>
      <c r="Z10" s="13">
        <v>9</v>
      </c>
      <c r="AA10" s="2">
        <f t="shared" si="1"/>
        <v>125</v>
      </c>
      <c r="AB10" s="13">
        <f t="shared" ref="AB10" si="4">_xlfn.IFNA(MATCH(Z10,J10:X10,0)-1,15-COUNTBLANK(J10:X10))+1</f>
        <v>6</v>
      </c>
      <c r="AC10" s="2"/>
      <c r="AD10" s="2">
        <v>8</v>
      </c>
      <c r="AE10" s="2">
        <f t="shared" ref="AE10:AE12" si="5">IF(SUMIF(Z$3:Z$55,AD10,AU$3:AU$55)=0,"",SUMIF(Z$3:Z$55,AD10,AU$3:AU$55))</f>
        <v>4</v>
      </c>
      <c r="AF10" s="2">
        <f t="array" ref="AF10">IF($AE10&lt;&gt;"",((5-MAX(IF($Z$3:$Z$53=$AD10,C$3:C$53,"")))*2)^2,"")</f>
        <v>0</v>
      </c>
      <c r="AG10" s="2">
        <f t="array" ref="AG10">IF($AE10&lt;&gt;"",((5-MAX(IF($Z$3:$Z$53=$AD10,D$3:D$53,"")))*2)^2,"")</f>
        <v>0</v>
      </c>
      <c r="AH10" s="2">
        <f t="array" ref="AH10">IF($AE10&lt;&gt;"",((5-MAX(IF($Z$3:$Z$53=$AD10,E$3:E$53,"")))*2)^2,"")</f>
        <v>4</v>
      </c>
      <c r="AI10" s="2">
        <f t="array" ref="AI10">IF($AE10&lt;&gt;"",((5-MAX(IF($Z$3:$Z$53=$AD10,F$3:F$53,"")))*2)^2,"")</f>
        <v>4</v>
      </c>
      <c r="AJ10" s="2">
        <f t="shared" si="3"/>
        <v>8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50">
        <v>5</v>
      </c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</row>
    <row r="11" spans="1:126" ht="15.75" thickBot="1" x14ac:dyDescent="0.3">
      <c r="A11" s="30" t="s">
        <v>45</v>
      </c>
      <c r="B11" s="31" t="s">
        <v>46</v>
      </c>
      <c r="C11" s="32">
        <v>3</v>
      </c>
      <c r="D11" s="32">
        <v>2</v>
      </c>
      <c r="E11" s="32">
        <v>5</v>
      </c>
      <c r="F11" s="33">
        <v>4</v>
      </c>
      <c r="G11" s="34"/>
      <c r="H11" s="34"/>
      <c r="I11" s="31"/>
      <c r="J11" s="34"/>
      <c r="K11" s="32">
        <v>8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1"/>
      <c r="Y11" s="2"/>
      <c r="Z11" s="13">
        <v>11</v>
      </c>
      <c r="AA11" s="2">
        <f t="shared" si="1"/>
        <v>1</v>
      </c>
      <c r="AB11" s="13">
        <f t="shared" ref="AB11:AB31" si="6">_xlfn.IFNA(MATCH(Z11,J11:X11,0)-1,15-COUNTBLANK(J11:X11))+1</f>
        <v>2</v>
      </c>
      <c r="AC11" s="2"/>
      <c r="AD11" s="2">
        <v>9</v>
      </c>
      <c r="AE11" s="2">
        <f t="shared" si="5"/>
        <v>5</v>
      </c>
      <c r="AF11" s="2">
        <f t="array" ref="AF11">IF($AE11&lt;&gt;"",((5-MAX(IF($Z$3:$Z$53=$AD11,C$3:C$53,"")))*2)^2,"")</f>
        <v>4</v>
      </c>
      <c r="AG11" s="2">
        <f t="array" ref="AG11">IF($AE11&lt;&gt;"",((5-MAX(IF($Z$3:$Z$53=$AD11,D$3:D$53,"")))*2)^2,"")</f>
        <v>4</v>
      </c>
      <c r="AH11" s="2">
        <f t="array" ref="AH11">IF($AE11&lt;&gt;"",((5-MAX(IF($Z$3:$Z$53=$AD11,E$3:E$53,"")))*2)^2,"")</f>
        <v>4</v>
      </c>
      <c r="AI11" s="2">
        <f t="array" ref="AI11">IF($AE11&lt;&gt;"",((5-MAX(IF($Z$3:$Z$53=$AD11,F$3:F$53,"")))*2)^2,"")</f>
        <v>0</v>
      </c>
      <c r="AJ11" s="2">
        <f t="shared" si="3"/>
        <v>12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50">
        <v>1</v>
      </c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</row>
    <row r="12" spans="1:126" ht="15.75" thickBot="1" x14ac:dyDescent="0.3">
      <c r="A12" s="41" t="s">
        <v>47</v>
      </c>
      <c r="B12" s="42" t="s">
        <v>48</v>
      </c>
      <c r="C12" s="32">
        <v>5</v>
      </c>
      <c r="D12" s="32">
        <v>5</v>
      </c>
      <c r="E12" s="32">
        <v>4</v>
      </c>
      <c r="F12" s="33">
        <v>4</v>
      </c>
      <c r="G12" s="34"/>
      <c r="H12" s="34"/>
      <c r="I12" s="31"/>
      <c r="J12" s="32">
        <v>7</v>
      </c>
      <c r="K12" s="32">
        <v>8</v>
      </c>
      <c r="L12" s="32">
        <v>14</v>
      </c>
      <c r="M12" s="32">
        <v>3</v>
      </c>
      <c r="N12" s="32">
        <v>6</v>
      </c>
      <c r="O12" s="32">
        <v>10</v>
      </c>
      <c r="P12" s="32">
        <v>13</v>
      </c>
      <c r="Q12" s="32">
        <v>5</v>
      </c>
      <c r="R12" s="32">
        <v>15</v>
      </c>
      <c r="S12" s="32">
        <v>1</v>
      </c>
      <c r="T12" s="32">
        <v>12</v>
      </c>
      <c r="U12" s="32">
        <v>2</v>
      </c>
      <c r="V12" s="32">
        <v>9</v>
      </c>
      <c r="W12" s="32">
        <v>4</v>
      </c>
      <c r="X12" s="33">
        <v>11</v>
      </c>
      <c r="Y12" s="2"/>
      <c r="Z12" s="13">
        <v>3</v>
      </c>
      <c r="AA12" s="2">
        <f t="shared" si="1"/>
        <v>45</v>
      </c>
      <c r="AB12" s="13">
        <f t="shared" si="6"/>
        <v>4</v>
      </c>
      <c r="AC12" s="2"/>
      <c r="AD12" s="2">
        <v>10</v>
      </c>
      <c r="AE12" s="2">
        <f t="shared" si="5"/>
        <v>5</v>
      </c>
      <c r="AF12" s="2">
        <f t="array" ref="AF12">IF($AE12&lt;&gt;"",((5-MAX(IF($Z$3:$Z$53=$AD12,C$3:C$53,"")))*2)^2,"")</f>
        <v>4</v>
      </c>
      <c r="AG12" s="2">
        <f t="array" ref="AG12">IF($AE12&lt;&gt;"",((5-MAX(IF($Z$3:$Z$53=$AD12,D$3:D$53,"")))*2)^2,"")</f>
        <v>4</v>
      </c>
      <c r="AH12" s="2">
        <f t="array" ref="AH12">IF($AE12&lt;&gt;"",((5-MAX(IF($Z$3:$Z$53=$AD12,E$3:E$53,"")))*2)^2,"")</f>
        <v>16</v>
      </c>
      <c r="AI12" s="2">
        <f t="array" ref="AI12">IF($AE12&lt;&gt;"",((5-MAX(IF($Z$3:$Z$53=$AD12,F$3:F$53,"")))*2)^2,"")</f>
        <v>4</v>
      </c>
      <c r="AJ12" s="2">
        <f t="shared" si="3"/>
        <v>28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50">
        <v>5</v>
      </c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</row>
    <row r="13" spans="1:126" ht="15.75" thickBot="1" x14ac:dyDescent="0.3">
      <c r="A13" s="30" t="s">
        <v>49</v>
      </c>
      <c r="B13" s="31" t="s">
        <v>50</v>
      </c>
      <c r="C13" s="32">
        <v>5</v>
      </c>
      <c r="D13" s="32">
        <v>3</v>
      </c>
      <c r="E13" s="32">
        <v>3</v>
      </c>
      <c r="F13" s="33">
        <v>4</v>
      </c>
      <c r="G13" s="34"/>
      <c r="H13" s="34"/>
      <c r="I13" s="31"/>
      <c r="J13" s="32">
        <v>2</v>
      </c>
      <c r="K13" s="32">
        <v>7</v>
      </c>
      <c r="L13" s="32">
        <v>4</v>
      </c>
      <c r="M13" s="32">
        <v>12</v>
      </c>
      <c r="N13" s="32">
        <v>13</v>
      </c>
      <c r="O13" s="32">
        <v>14</v>
      </c>
      <c r="P13" s="32">
        <v>5</v>
      </c>
      <c r="Q13" s="32">
        <v>6</v>
      </c>
      <c r="R13" s="32">
        <v>8</v>
      </c>
      <c r="S13" s="32">
        <v>10</v>
      </c>
      <c r="T13" s="32">
        <v>1</v>
      </c>
      <c r="U13" s="32">
        <v>3</v>
      </c>
      <c r="V13" s="32">
        <v>9</v>
      </c>
      <c r="W13" s="32">
        <v>15</v>
      </c>
      <c r="X13" s="33">
        <v>11</v>
      </c>
      <c r="Y13" s="2"/>
      <c r="Z13" s="13">
        <v>2</v>
      </c>
      <c r="AA13" s="2">
        <f t="shared" si="1"/>
        <v>0</v>
      </c>
      <c r="AB13" s="13">
        <f t="shared" si="6"/>
        <v>1</v>
      </c>
      <c r="AC13" s="2"/>
      <c r="AD13" s="2">
        <v>11</v>
      </c>
      <c r="AE13" s="2">
        <f>IF(SUMIF(Z$3:Z$55,AD13,AU$3:AU$55)=0,"",SUMIF(Z$3:Z$55,AD13,AU$3:AU$55))</f>
        <v>4</v>
      </c>
      <c r="AF13" s="2">
        <f t="array" ref="AF13">IF($AE13&lt;&gt;"",((5-MAX(IF($Z$3:$Z$53=$AD13,C$3:C$53,"")))*2)^2,"")</f>
        <v>0</v>
      </c>
      <c r="AG13" s="2">
        <f t="array" ref="AG13">IF($AE13&lt;&gt;"",((5-MAX(IF($Z$3:$Z$53=$AD13,D$3:D$53,"")))*2)^2,"")</f>
        <v>4</v>
      </c>
      <c r="AH13" s="2">
        <f t="array" ref="AH13">IF($AE13&lt;&gt;"",((5-MAX(IF($Z$3:$Z$53=$AD13,E$3:E$53,"")))*2)^2,"")</f>
        <v>0</v>
      </c>
      <c r="AI13" s="2">
        <f t="array" ref="AI13">IF($AE13&lt;&gt;"",((5-MAX(IF($Z$3:$Z$53=$AD13,F$3:F$53,"")))*2)^2,"")</f>
        <v>4</v>
      </c>
      <c r="AJ13" s="2">
        <f t="shared" si="3"/>
        <v>8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50">
        <v>1</v>
      </c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</row>
    <row r="14" spans="1:126" ht="15.75" thickBot="1" x14ac:dyDescent="0.3">
      <c r="A14" s="30" t="s">
        <v>51</v>
      </c>
      <c r="B14" s="31" t="s">
        <v>52</v>
      </c>
      <c r="C14" s="32">
        <v>5</v>
      </c>
      <c r="D14" s="32">
        <v>3</v>
      </c>
      <c r="E14" s="32">
        <v>4</v>
      </c>
      <c r="F14" s="33">
        <v>4</v>
      </c>
      <c r="G14" s="34"/>
      <c r="H14" s="34"/>
      <c r="I14" s="31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3"/>
      <c r="Y14" s="2"/>
      <c r="Z14" s="13">
        <v>11</v>
      </c>
      <c r="AA14" s="2">
        <f t="shared" si="1"/>
        <v>0</v>
      </c>
      <c r="AB14" s="13">
        <f t="shared" si="6"/>
        <v>1</v>
      </c>
      <c r="AC14" s="2"/>
      <c r="AD14" s="2">
        <v>12</v>
      </c>
      <c r="AE14" s="2">
        <f>IF(SUMIF(Z$3:Z$55,AD14,AU$3:AU$55)=0,"",SUMIF(Z$3:Z$55,AD14,AU$3:AU$55))</f>
        <v>4</v>
      </c>
      <c r="AF14" s="2">
        <f t="array" ref="AF14">IF($AE14&lt;&gt;"",((5-MAX(IF($Z$3:$Z$53=$AD14,C$3:C$53,"")))*2)^2,"")</f>
        <v>4</v>
      </c>
      <c r="AG14" s="2">
        <f t="array" ref="AG14">IF($AE14&lt;&gt;"",((5-MAX(IF($Z$3:$Z$53=$AD14,D$3:D$53,"")))*2)^2,"")</f>
        <v>16</v>
      </c>
      <c r="AH14" s="2">
        <f t="array" ref="AH14">IF($AE14&lt;&gt;"",((5-MAX(IF($Z$3:$Z$53=$AD14,E$3:E$53,"")))*2)^2,"")</f>
        <v>4</v>
      </c>
      <c r="AI14" s="2">
        <f t="array" ref="AI14">IF($AE14&lt;&gt;"",((5-MAX(IF($Z$3:$Z$53=$AD14,F$3:F$53,"")))*2)^2,"")</f>
        <v>4</v>
      </c>
      <c r="AJ14" s="2">
        <f t="shared" si="3"/>
        <v>28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50">
        <v>1</v>
      </c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</row>
    <row r="15" spans="1:126" ht="15.75" thickBot="1" x14ac:dyDescent="0.3">
      <c r="A15" s="30" t="s">
        <v>53</v>
      </c>
      <c r="B15" s="31" t="s">
        <v>54</v>
      </c>
      <c r="C15" s="32">
        <v>3</v>
      </c>
      <c r="D15" s="32">
        <v>4</v>
      </c>
      <c r="E15" s="32">
        <v>4</v>
      </c>
      <c r="F15" s="33">
        <v>3</v>
      </c>
      <c r="G15" s="34"/>
      <c r="H15" s="34"/>
      <c r="I15" s="31"/>
      <c r="J15" s="34">
        <v>5</v>
      </c>
      <c r="K15" s="34">
        <v>2</v>
      </c>
      <c r="L15" s="34">
        <v>9</v>
      </c>
      <c r="M15" s="34">
        <v>10</v>
      </c>
      <c r="N15" s="34">
        <v>6</v>
      </c>
      <c r="O15" s="34">
        <v>1</v>
      </c>
      <c r="P15" s="34">
        <v>7</v>
      </c>
      <c r="Q15" s="34">
        <v>8</v>
      </c>
      <c r="R15" s="34">
        <v>15</v>
      </c>
      <c r="S15" s="34">
        <v>13</v>
      </c>
      <c r="T15" s="34">
        <v>14</v>
      </c>
      <c r="U15" s="34">
        <v>4</v>
      </c>
      <c r="V15" s="34">
        <v>12</v>
      </c>
      <c r="W15" s="34">
        <v>3</v>
      </c>
      <c r="X15" s="31">
        <v>11</v>
      </c>
      <c r="Y15" s="2"/>
      <c r="Z15" s="13">
        <v>5</v>
      </c>
      <c r="AA15" s="2">
        <f t="shared" si="1"/>
        <v>0</v>
      </c>
      <c r="AB15" s="13">
        <f t="shared" si="6"/>
        <v>1</v>
      </c>
      <c r="AC15" s="2"/>
      <c r="AD15" s="2">
        <v>13</v>
      </c>
      <c r="AE15" s="2">
        <f>IF(SUMIF(Z$3:Z$55,AD15,AU$3:AU$55)=0,"",SUMIF(Z$3:Z$55,AD15,AU$3:AU$55))</f>
        <v>5</v>
      </c>
      <c r="AF15" s="2">
        <f t="array" ref="AF15">IF($AE15&lt;&gt;"",((5-MAX(IF($Z$3:$Z$53=$AD15,C$3:C$53,"")))*2)^2,"")</f>
        <v>0</v>
      </c>
      <c r="AG15" s="2">
        <f t="array" ref="AG15">IF($AE15&lt;&gt;"",((5-MAX(IF($Z$3:$Z$53=$AD15,D$3:D$53,"")))*2)^2,"")</f>
        <v>4</v>
      </c>
      <c r="AH15" s="2">
        <f t="array" ref="AH15">IF($AE15&lt;&gt;"",((5-MAX(IF($Z$3:$Z$53=$AD15,E$3:E$53,"")))*2)^2,"")</f>
        <v>0</v>
      </c>
      <c r="AI15" s="2">
        <f t="array" ref="AI15">IF($AE15&lt;&gt;"",((5-MAX(IF($Z$3:$Z$53=$AD15,F$3:F$53,"")))*2)^2,"")</f>
        <v>4</v>
      </c>
      <c r="AJ15" s="2">
        <f t="shared" si="3"/>
        <v>8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50">
        <v>2</v>
      </c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</row>
    <row r="16" spans="1:126" ht="15.75" thickBot="1" x14ac:dyDescent="0.3">
      <c r="A16" s="30" t="s">
        <v>55</v>
      </c>
      <c r="B16" s="31" t="s">
        <v>56</v>
      </c>
      <c r="C16" s="32">
        <v>3</v>
      </c>
      <c r="D16" s="32">
        <v>4</v>
      </c>
      <c r="E16" s="32">
        <v>4</v>
      </c>
      <c r="F16" s="33">
        <v>4</v>
      </c>
      <c r="G16" s="34"/>
      <c r="H16" s="34"/>
      <c r="I16" s="31"/>
      <c r="J16" s="32">
        <v>7</v>
      </c>
      <c r="K16" s="32">
        <v>2</v>
      </c>
      <c r="L16" s="32">
        <v>14</v>
      </c>
      <c r="M16" s="32">
        <v>13</v>
      </c>
      <c r="N16" s="32">
        <v>10</v>
      </c>
      <c r="O16" s="32">
        <v>1</v>
      </c>
      <c r="P16" s="32">
        <v>5</v>
      </c>
      <c r="Q16" s="32">
        <v>8</v>
      </c>
      <c r="R16" s="32">
        <v>15</v>
      </c>
      <c r="S16" s="32">
        <v>12</v>
      </c>
      <c r="T16" s="32">
        <v>4</v>
      </c>
      <c r="U16" s="32">
        <v>3</v>
      </c>
      <c r="V16" s="32">
        <v>6</v>
      </c>
      <c r="W16" s="32">
        <v>9</v>
      </c>
      <c r="X16" s="33">
        <v>11</v>
      </c>
      <c r="Y16" s="2"/>
      <c r="Z16" s="13">
        <v>7</v>
      </c>
      <c r="AA16" s="2">
        <f t="shared" si="1"/>
        <v>0</v>
      </c>
      <c r="AB16" s="13">
        <f t="shared" si="6"/>
        <v>1</v>
      </c>
      <c r="AC16" s="2"/>
      <c r="AD16" s="2">
        <v>14</v>
      </c>
      <c r="AE16" s="2">
        <f>IF(SUMIF(Z$3:Z$55,AD16,AU$3:AU$55)=0,"",SUMIF(Z$3:Z$55,AD16,AU$3:AU$55))</f>
        <v>4</v>
      </c>
      <c r="AF16" s="2">
        <f t="array" ref="AF16">IF($AE16&lt;&gt;"",((5-MAX(IF($Z$3:$Z$53=$AD16,C$3:C$53,"")))*2)^2,"")</f>
        <v>36</v>
      </c>
      <c r="AG16" s="2">
        <f t="array" ref="AG16">IF($AE16&lt;&gt;"",((5-MAX(IF($Z$3:$Z$53=$AD16,D$3:D$53,"")))*2)^2,"")</f>
        <v>16</v>
      </c>
      <c r="AH16" s="2">
        <f t="array" ref="AH16">IF($AE16&lt;&gt;"",((5-MAX(IF($Z$3:$Z$53=$AD16,E$3:E$53,"")))*2)^2,"")</f>
        <v>4</v>
      </c>
      <c r="AI16" s="2">
        <f t="array" ref="AI16">IF($AE16&lt;&gt;"",((5-MAX(IF($Z$3:$Z$53=$AD16,F$3:F$53,"")))*2)^2,"")</f>
        <v>4</v>
      </c>
      <c r="AJ16" s="2">
        <f t="shared" si="3"/>
        <v>60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50">
        <v>1</v>
      </c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</row>
    <row r="17" spans="1:126" ht="15.75" thickBot="1" x14ac:dyDescent="0.3">
      <c r="A17" s="30" t="s">
        <v>57</v>
      </c>
      <c r="B17" s="31" t="s">
        <v>58</v>
      </c>
      <c r="C17" s="32">
        <v>5</v>
      </c>
      <c r="D17" s="32">
        <v>3</v>
      </c>
      <c r="E17" s="32">
        <v>5</v>
      </c>
      <c r="F17" s="33">
        <v>4</v>
      </c>
      <c r="G17" s="34"/>
      <c r="H17" s="34"/>
      <c r="I17" s="31"/>
      <c r="J17" s="32">
        <v>13</v>
      </c>
      <c r="K17" s="32">
        <v>15</v>
      </c>
      <c r="L17" s="32">
        <v>1</v>
      </c>
      <c r="M17" s="32">
        <v>14</v>
      </c>
      <c r="N17" s="32">
        <v>7</v>
      </c>
      <c r="O17" s="32">
        <v>5</v>
      </c>
      <c r="P17" s="32">
        <v>3</v>
      </c>
      <c r="Q17" s="32">
        <v>10</v>
      </c>
      <c r="R17" s="32">
        <v>2</v>
      </c>
      <c r="S17" s="32">
        <v>6</v>
      </c>
      <c r="T17" s="32">
        <v>12</v>
      </c>
      <c r="U17" s="32">
        <v>9</v>
      </c>
      <c r="V17" s="32">
        <v>8</v>
      </c>
      <c r="W17" s="32">
        <v>4</v>
      </c>
      <c r="X17" s="33">
        <v>11</v>
      </c>
      <c r="Y17" s="2"/>
      <c r="Z17" s="13">
        <v>15</v>
      </c>
      <c r="AA17" s="2">
        <f t="shared" si="1"/>
        <v>5</v>
      </c>
      <c r="AB17" s="13">
        <f t="shared" si="6"/>
        <v>2</v>
      </c>
      <c r="AC17" s="2"/>
      <c r="AD17" s="2">
        <v>15</v>
      </c>
      <c r="AE17" s="2">
        <f>IF(SUMIF(Z$3:Z$55,AD17,AU$3:AU$55)=0,"",SUMIF(Z$3:Z$55,AD17,AU$3:AU$55))</f>
        <v>5</v>
      </c>
      <c r="AF17" s="2">
        <f t="array" ref="AF17">IF($AE17&lt;&gt;"",((5-MAX(IF($Z$3:$Z$53=$AD17,C$3:C$53,"")))*2)^2,"")</f>
        <v>0</v>
      </c>
      <c r="AG17" s="2">
        <f t="array" ref="AG17">IF($AE17&lt;&gt;"",((5-MAX(IF($Z$3:$Z$53=$AD17,D$3:D$53,"")))*2)^2,"")</f>
        <v>16</v>
      </c>
      <c r="AH17" s="2">
        <f t="array" ref="AH17">IF($AE17&lt;&gt;"",((5-MAX(IF($Z$3:$Z$53=$AD17,E$3:E$53,"")))*2)^2,"")</f>
        <v>0</v>
      </c>
      <c r="AI17" s="2">
        <f t="array" ref="AI17">IF($AE17&lt;&gt;"",((5-MAX(IF($Z$3:$Z$53=$AD17,F$3:F$53,"")))*2)^2,"")</f>
        <v>4</v>
      </c>
      <c r="AJ17" s="2">
        <f t="shared" si="3"/>
        <v>20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50">
        <v>5</v>
      </c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</row>
    <row r="18" spans="1:126" ht="15.75" thickBot="1" x14ac:dyDescent="0.3">
      <c r="A18" s="30" t="s">
        <v>59</v>
      </c>
      <c r="B18" s="31" t="s">
        <v>60</v>
      </c>
      <c r="C18" s="32">
        <v>3</v>
      </c>
      <c r="D18" s="32">
        <v>1</v>
      </c>
      <c r="E18" s="32">
        <v>4</v>
      </c>
      <c r="F18" s="33">
        <v>3</v>
      </c>
      <c r="G18" s="34"/>
      <c r="H18" s="34"/>
      <c r="I18" s="31"/>
      <c r="J18" s="32">
        <v>8</v>
      </c>
      <c r="K18" s="32">
        <v>14</v>
      </c>
      <c r="L18" s="32">
        <v>13</v>
      </c>
      <c r="M18" s="32">
        <v>10</v>
      </c>
      <c r="N18" s="34">
        <v>15</v>
      </c>
      <c r="O18" s="34">
        <v>2</v>
      </c>
      <c r="P18" s="34">
        <v>9</v>
      </c>
      <c r="Q18" s="34">
        <v>4</v>
      </c>
      <c r="R18" s="34">
        <v>6</v>
      </c>
      <c r="S18" s="34">
        <v>12</v>
      </c>
      <c r="T18" s="34">
        <v>7</v>
      </c>
      <c r="U18" s="34">
        <v>3</v>
      </c>
      <c r="V18" s="34">
        <v>1</v>
      </c>
      <c r="W18" s="34">
        <v>5</v>
      </c>
      <c r="X18" s="31">
        <v>11</v>
      </c>
      <c r="Y18" s="2"/>
      <c r="Z18" s="13">
        <v>8</v>
      </c>
      <c r="AA18" s="2">
        <f t="shared" si="1"/>
        <v>0</v>
      </c>
      <c r="AB18" s="13">
        <f t="shared" si="6"/>
        <v>1</v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50">
        <v>1</v>
      </c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</row>
    <row r="19" spans="1:126" ht="15.75" thickBot="1" x14ac:dyDescent="0.3">
      <c r="A19" s="30" t="s">
        <v>61</v>
      </c>
      <c r="B19" s="31" t="s">
        <v>62</v>
      </c>
      <c r="C19" s="32">
        <v>4</v>
      </c>
      <c r="D19" s="32">
        <v>5</v>
      </c>
      <c r="E19" s="32">
        <v>3</v>
      </c>
      <c r="F19" s="33">
        <v>4</v>
      </c>
      <c r="G19" s="34"/>
      <c r="H19" s="34"/>
      <c r="I19" s="31"/>
      <c r="J19" s="32">
        <v>7</v>
      </c>
      <c r="K19" s="32">
        <v>13</v>
      </c>
      <c r="L19" s="32">
        <v>14</v>
      </c>
      <c r="M19" s="32">
        <v>8</v>
      </c>
      <c r="N19" s="32">
        <v>15</v>
      </c>
      <c r="O19" s="32">
        <v>1</v>
      </c>
      <c r="P19" s="32">
        <v>3</v>
      </c>
      <c r="Q19" s="32">
        <v>10</v>
      </c>
      <c r="R19" s="32">
        <v>5</v>
      </c>
      <c r="S19" s="32">
        <v>4</v>
      </c>
      <c r="T19" s="32">
        <v>6</v>
      </c>
      <c r="U19" s="32">
        <v>9</v>
      </c>
      <c r="V19" s="32">
        <v>12</v>
      </c>
      <c r="W19" s="32">
        <v>2</v>
      </c>
      <c r="X19" s="33">
        <v>11</v>
      </c>
      <c r="Y19" s="2"/>
      <c r="Z19" s="13">
        <v>8</v>
      </c>
      <c r="AA19" s="2">
        <f t="shared" si="1"/>
        <v>9</v>
      </c>
      <c r="AB19" s="13">
        <f t="shared" si="6"/>
        <v>4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50">
        <v>1</v>
      </c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</row>
    <row r="20" spans="1:126" ht="15.75" thickBot="1" x14ac:dyDescent="0.3">
      <c r="A20" s="30" t="s">
        <v>63</v>
      </c>
      <c r="B20" s="31" t="s">
        <v>64</v>
      </c>
      <c r="C20" s="32">
        <v>3</v>
      </c>
      <c r="D20" s="32">
        <v>3</v>
      </c>
      <c r="E20" s="32">
        <v>4</v>
      </c>
      <c r="F20" s="33">
        <v>4</v>
      </c>
      <c r="G20" s="34">
        <v>1</v>
      </c>
      <c r="H20" s="34">
        <v>12</v>
      </c>
      <c r="I20" s="31"/>
      <c r="J20" s="32">
        <v>1</v>
      </c>
      <c r="K20" s="32">
        <v>12</v>
      </c>
      <c r="L20" s="32">
        <v>2</v>
      </c>
      <c r="M20" s="32">
        <v>3</v>
      </c>
      <c r="N20" s="32">
        <v>4</v>
      </c>
      <c r="O20" s="32">
        <v>5</v>
      </c>
      <c r="P20" s="32">
        <v>6</v>
      </c>
      <c r="Q20" s="32">
        <v>7</v>
      </c>
      <c r="R20" s="32">
        <v>8</v>
      </c>
      <c r="S20" s="32">
        <v>9</v>
      </c>
      <c r="T20" s="32">
        <v>10</v>
      </c>
      <c r="U20" s="32">
        <v>11</v>
      </c>
      <c r="V20" s="32">
        <v>13</v>
      </c>
      <c r="W20" s="32">
        <v>14</v>
      </c>
      <c r="X20" s="33">
        <v>15</v>
      </c>
      <c r="Y20" s="2"/>
      <c r="Z20" s="13">
        <v>12</v>
      </c>
      <c r="AA20" s="2">
        <f t="shared" si="1"/>
        <v>1</v>
      </c>
      <c r="AB20" s="13">
        <f t="shared" si="6"/>
        <v>2</v>
      </c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50">
        <v>1</v>
      </c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</row>
    <row r="21" spans="1:126" ht="15.75" thickBot="1" x14ac:dyDescent="0.3">
      <c r="A21" s="30" t="s">
        <v>65</v>
      </c>
      <c r="B21" s="31" t="s">
        <v>66</v>
      </c>
      <c r="C21" s="32">
        <v>3</v>
      </c>
      <c r="D21" s="32">
        <v>3</v>
      </c>
      <c r="E21" s="32">
        <v>2</v>
      </c>
      <c r="F21" s="33">
        <v>3</v>
      </c>
      <c r="G21" s="32"/>
      <c r="H21" s="32"/>
      <c r="I21" s="31"/>
      <c r="J21" s="32">
        <v>7</v>
      </c>
      <c r="K21" s="32">
        <v>15</v>
      </c>
      <c r="L21" s="32">
        <v>12</v>
      </c>
      <c r="M21" s="32">
        <v>14</v>
      </c>
      <c r="N21" s="32">
        <v>10</v>
      </c>
      <c r="O21" s="32">
        <v>13</v>
      </c>
      <c r="P21" s="32">
        <v>5</v>
      </c>
      <c r="Q21" s="32">
        <v>2</v>
      </c>
      <c r="R21" s="32">
        <v>6</v>
      </c>
      <c r="S21" s="32">
        <v>9</v>
      </c>
      <c r="T21" s="32">
        <v>4</v>
      </c>
      <c r="U21" s="32">
        <v>8</v>
      </c>
      <c r="V21" s="32">
        <v>1</v>
      </c>
      <c r="W21" s="32">
        <v>3</v>
      </c>
      <c r="X21" s="33">
        <v>11</v>
      </c>
      <c r="Y21" s="2"/>
      <c r="Z21" s="13">
        <v>12</v>
      </c>
      <c r="AA21" s="2">
        <f t="shared" si="1"/>
        <v>4</v>
      </c>
      <c r="AB21" s="13">
        <f t="shared" si="6"/>
        <v>3</v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50">
        <v>1</v>
      </c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</row>
    <row r="22" spans="1:126" ht="15.75" thickBot="1" x14ac:dyDescent="0.3">
      <c r="A22" s="44" t="s">
        <v>67</v>
      </c>
      <c r="B22" s="42" t="s">
        <v>68</v>
      </c>
      <c r="C22" s="36">
        <v>3</v>
      </c>
      <c r="D22" s="36">
        <v>2</v>
      </c>
      <c r="E22" s="36">
        <v>5</v>
      </c>
      <c r="F22" s="45">
        <v>5</v>
      </c>
      <c r="G22" s="43">
        <v>3</v>
      </c>
      <c r="H22" s="43">
        <v>2</v>
      </c>
      <c r="I22" s="42">
        <v>10</v>
      </c>
      <c r="J22" s="36">
        <v>3</v>
      </c>
      <c r="K22" s="36">
        <v>2</v>
      </c>
      <c r="L22" s="36">
        <v>10</v>
      </c>
      <c r="M22" s="36">
        <v>7</v>
      </c>
      <c r="N22" s="36">
        <v>11</v>
      </c>
      <c r="O22" s="36">
        <v>13</v>
      </c>
      <c r="P22" s="36">
        <v>9</v>
      </c>
      <c r="Q22" s="36">
        <v>5</v>
      </c>
      <c r="R22" s="36">
        <v>8</v>
      </c>
      <c r="S22" s="36">
        <v>4</v>
      </c>
      <c r="T22" s="36">
        <v>1</v>
      </c>
      <c r="U22" s="36">
        <v>6</v>
      </c>
      <c r="V22" s="36">
        <v>10</v>
      </c>
      <c r="W22" s="36">
        <v>9</v>
      </c>
      <c r="X22" s="45">
        <v>12</v>
      </c>
      <c r="Y22" s="2"/>
      <c r="Z22" s="13">
        <v>2</v>
      </c>
      <c r="AA22" s="2">
        <f t="shared" si="1"/>
        <v>1</v>
      </c>
      <c r="AB22" s="13">
        <f t="shared" si="6"/>
        <v>2</v>
      </c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51">
        <v>1</v>
      </c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</row>
    <row r="23" spans="1:126" ht="15.75" thickBot="1" x14ac:dyDescent="0.3">
      <c r="A23" s="30" t="s">
        <v>69</v>
      </c>
      <c r="B23" s="31" t="s">
        <v>70</v>
      </c>
      <c r="C23" s="32">
        <v>2</v>
      </c>
      <c r="D23" s="32">
        <v>2</v>
      </c>
      <c r="E23" s="32">
        <v>3</v>
      </c>
      <c r="F23" s="33">
        <v>3</v>
      </c>
      <c r="G23" s="32"/>
      <c r="H23" s="32"/>
      <c r="I23" s="33"/>
      <c r="J23" s="32">
        <v>2</v>
      </c>
      <c r="K23" s="32">
        <v>9</v>
      </c>
      <c r="L23" s="32">
        <v>7</v>
      </c>
      <c r="M23" s="34">
        <v>15</v>
      </c>
      <c r="N23" s="34">
        <v>12</v>
      </c>
      <c r="O23" s="34">
        <v>3</v>
      </c>
      <c r="P23" s="34">
        <v>10</v>
      </c>
      <c r="Q23" s="34">
        <v>13</v>
      </c>
      <c r="R23" s="34">
        <v>5</v>
      </c>
      <c r="S23" s="34">
        <v>1</v>
      </c>
      <c r="T23" s="34">
        <v>8</v>
      </c>
      <c r="U23" s="34">
        <v>14</v>
      </c>
      <c r="V23" s="34">
        <v>6</v>
      </c>
      <c r="W23" s="34">
        <v>4</v>
      </c>
      <c r="X23" s="31">
        <v>11</v>
      </c>
      <c r="Y23" s="2"/>
      <c r="Z23" s="13">
        <v>2</v>
      </c>
      <c r="AA23" s="2">
        <f t="shared" si="1"/>
        <v>0</v>
      </c>
      <c r="AB23" s="13">
        <f t="shared" si="6"/>
        <v>1</v>
      </c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50">
        <v>1</v>
      </c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</row>
    <row r="24" spans="1:126" ht="15.75" thickBot="1" x14ac:dyDescent="0.3">
      <c r="A24" s="30" t="s">
        <v>95</v>
      </c>
      <c r="B24" s="31" t="s">
        <v>96</v>
      </c>
      <c r="C24" s="32">
        <v>2</v>
      </c>
      <c r="D24" s="32">
        <v>3</v>
      </c>
      <c r="E24" s="32">
        <v>4</v>
      </c>
      <c r="F24" s="33">
        <v>4</v>
      </c>
      <c r="G24" s="34"/>
      <c r="H24" s="34"/>
      <c r="I24" s="31"/>
      <c r="J24" s="32">
        <v>13</v>
      </c>
      <c r="K24" s="32">
        <v>14</v>
      </c>
      <c r="L24" s="32">
        <v>7</v>
      </c>
      <c r="M24" s="32">
        <v>10</v>
      </c>
      <c r="N24" s="32">
        <v>2</v>
      </c>
      <c r="O24" s="32">
        <v>1</v>
      </c>
      <c r="P24" s="32">
        <v>5</v>
      </c>
      <c r="Q24" s="32">
        <v>4</v>
      </c>
      <c r="R24" s="32">
        <v>15</v>
      </c>
      <c r="S24" s="32">
        <v>12</v>
      </c>
      <c r="T24" s="32">
        <v>9</v>
      </c>
      <c r="U24" s="32">
        <v>3</v>
      </c>
      <c r="V24" s="32">
        <v>8</v>
      </c>
      <c r="W24" s="32">
        <v>6</v>
      </c>
      <c r="X24" s="33">
        <v>11</v>
      </c>
      <c r="Y24" s="2"/>
      <c r="Z24" s="13">
        <v>14</v>
      </c>
      <c r="AA24" s="2">
        <f t="shared" si="1"/>
        <v>3</v>
      </c>
      <c r="AB24" s="13">
        <f t="shared" si="6"/>
        <v>2</v>
      </c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50">
        <v>3</v>
      </c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</row>
    <row r="25" spans="1:126" ht="15.75" thickBot="1" x14ac:dyDescent="0.3">
      <c r="A25" s="30" t="s">
        <v>71</v>
      </c>
      <c r="B25" s="31" t="s">
        <v>72</v>
      </c>
      <c r="C25" s="32">
        <v>2</v>
      </c>
      <c r="D25" s="32">
        <v>2</v>
      </c>
      <c r="E25" s="32">
        <v>2</v>
      </c>
      <c r="F25" s="33">
        <v>4</v>
      </c>
      <c r="G25" s="34"/>
      <c r="H25" s="34"/>
      <c r="I25" s="31"/>
      <c r="J25" s="32">
        <v>15</v>
      </c>
      <c r="K25" s="32">
        <v>14</v>
      </c>
      <c r="L25" s="32">
        <v>13</v>
      </c>
      <c r="M25" s="32">
        <v>7</v>
      </c>
      <c r="N25" s="32">
        <v>3</v>
      </c>
      <c r="O25" s="32">
        <v>12</v>
      </c>
      <c r="P25" s="32">
        <v>10</v>
      </c>
      <c r="Q25" s="32">
        <v>5</v>
      </c>
      <c r="R25" s="32">
        <v>8</v>
      </c>
      <c r="S25" s="32">
        <v>9</v>
      </c>
      <c r="T25" s="32">
        <v>5</v>
      </c>
      <c r="U25" s="32">
        <v>4</v>
      </c>
      <c r="V25" s="32">
        <v>1</v>
      </c>
      <c r="W25" s="32">
        <v>2</v>
      </c>
      <c r="X25" s="33">
        <v>11</v>
      </c>
      <c r="Y25" s="2"/>
      <c r="Z25" s="13">
        <v>14</v>
      </c>
      <c r="AA25" s="2">
        <f t="shared" si="1"/>
        <v>1</v>
      </c>
      <c r="AB25" s="13">
        <f t="shared" si="6"/>
        <v>2</v>
      </c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50">
        <v>1</v>
      </c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</row>
    <row r="26" spans="1:126" ht="15.75" thickBot="1" x14ac:dyDescent="0.3">
      <c r="A26" s="30" t="s">
        <v>73</v>
      </c>
      <c r="B26" s="31" t="s">
        <v>74</v>
      </c>
      <c r="C26" s="32">
        <v>4</v>
      </c>
      <c r="D26" s="32">
        <v>5</v>
      </c>
      <c r="E26" s="32">
        <v>2</v>
      </c>
      <c r="F26" s="33">
        <v>3</v>
      </c>
      <c r="G26" s="34"/>
      <c r="H26" s="34"/>
      <c r="I26" s="38"/>
      <c r="J26" s="46">
        <v>2</v>
      </c>
      <c r="K26" s="46">
        <v>7</v>
      </c>
      <c r="L26" s="46">
        <v>13</v>
      </c>
      <c r="M26" s="46">
        <v>14</v>
      </c>
      <c r="N26" s="46">
        <v>9</v>
      </c>
      <c r="O26" s="46">
        <v>5</v>
      </c>
      <c r="P26" s="46">
        <v>10</v>
      </c>
      <c r="Q26" s="46">
        <v>3</v>
      </c>
      <c r="R26" s="32">
        <v>8</v>
      </c>
      <c r="S26" s="32">
        <v>6</v>
      </c>
      <c r="T26" s="32">
        <v>1</v>
      </c>
      <c r="U26" s="32">
        <v>15</v>
      </c>
      <c r="V26" s="32">
        <v>12</v>
      </c>
      <c r="W26" s="32">
        <v>4</v>
      </c>
      <c r="X26" s="33">
        <v>11</v>
      </c>
      <c r="Y26" s="2"/>
      <c r="Z26" s="13">
        <v>2</v>
      </c>
      <c r="AA26" s="2">
        <f t="shared" si="1"/>
        <v>0</v>
      </c>
      <c r="AB26" s="13">
        <f t="shared" si="6"/>
        <v>1</v>
      </c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50">
        <v>1</v>
      </c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</row>
    <row r="27" spans="1:126" ht="15.75" thickBot="1" x14ac:dyDescent="0.3">
      <c r="A27" s="30" t="s">
        <v>75</v>
      </c>
      <c r="B27" s="31" t="s">
        <v>76</v>
      </c>
      <c r="C27" s="32">
        <v>3</v>
      </c>
      <c r="D27" s="32">
        <v>4</v>
      </c>
      <c r="E27" s="32">
        <v>4</v>
      </c>
      <c r="F27" s="33">
        <v>4</v>
      </c>
      <c r="G27" s="34"/>
      <c r="H27" s="34"/>
      <c r="I27" s="31"/>
      <c r="J27" s="32">
        <v>13</v>
      </c>
      <c r="K27" s="32">
        <v>3</v>
      </c>
      <c r="L27" s="32">
        <v>5</v>
      </c>
      <c r="M27" s="32">
        <v>7</v>
      </c>
      <c r="N27" s="32">
        <v>2</v>
      </c>
      <c r="O27" s="32">
        <v>6</v>
      </c>
      <c r="P27" s="32">
        <v>9</v>
      </c>
      <c r="Q27" s="47">
        <v>1</v>
      </c>
      <c r="R27" s="32">
        <v>15</v>
      </c>
      <c r="S27" s="32">
        <v>12</v>
      </c>
      <c r="T27" s="32">
        <v>10</v>
      </c>
      <c r="U27" s="32">
        <v>4</v>
      </c>
      <c r="V27" s="32">
        <v>8</v>
      </c>
      <c r="W27" s="32">
        <v>14</v>
      </c>
      <c r="X27" s="33">
        <v>11</v>
      </c>
      <c r="Y27" s="2"/>
      <c r="Z27" s="13">
        <v>5</v>
      </c>
      <c r="AA27" s="2">
        <f t="shared" si="1"/>
        <v>4</v>
      </c>
      <c r="AB27" s="13">
        <f t="shared" si="6"/>
        <v>3</v>
      </c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50">
        <v>1</v>
      </c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</row>
    <row r="28" spans="1:126" ht="15.75" thickBot="1" x14ac:dyDescent="0.3">
      <c r="A28" s="30" t="s">
        <v>90</v>
      </c>
      <c r="B28" s="31" t="s">
        <v>91</v>
      </c>
      <c r="C28" s="32">
        <v>4</v>
      </c>
      <c r="D28" s="32">
        <v>5</v>
      </c>
      <c r="E28" s="32">
        <v>2</v>
      </c>
      <c r="F28" s="33">
        <v>4</v>
      </c>
      <c r="G28" s="34"/>
      <c r="H28" s="34"/>
      <c r="I28" s="31"/>
      <c r="J28" s="32">
        <v>15</v>
      </c>
      <c r="K28" s="32">
        <v>14</v>
      </c>
      <c r="L28" s="32">
        <v>7</v>
      </c>
      <c r="M28" s="32">
        <v>13</v>
      </c>
      <c r="N28" s="48">
        <v>3</v>
      </c>
      <c r="O28" s="47">
        <v>2</v>
      </c>
      <c r="P28" s="32">
        <v>8</v>
      </c>
      <c r="Q28" s="32">
        <v>11</v>
      </c>
      <c r="R28" s="32">
        <v>9</v>
      </c>
      <c r="S28" s="32">
        <v>1</v>
      </c>
      <c r="T28" s="32">
        <v>12</v>
      </c>
      <c r="U28" s="32">
        <v>10</v>
      </c>
      <c r="V28" s="32">
        <v>6</v>
      </c>
      <c r="W28" s="32">
        <v>5</v>
      </c>
      <c r="X28" s="33">
        <v>4</v>
      </c>
      <c r="Y28" s="2"/>
      <c r="Z28" s="13">
        <v>7</v>
      </c>
      <c r="AA28" s="2">
        <f t="shared" si="1"/>
        <v>12</v>
      </c>
      <c r="AB28" s="13">
        <f t="shared" si="6"/>
        <v>3</v>
      </c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50">
        <v>3</v>
      </c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</row>
    <row r="29" spans="1:126" ht="15.75" thickBot="1" x14ac:dyDescent="0.3">
      <c r="A29" s="30" t="s">
        <v>77</v>
      </c>
      <c r="B29" s="31" t="s">
        <v>78</v>
      </c>
      <c r="C29" s="32">
        <v>2</v>
      </c>
      <c r="D29" s="32">
        <v>3</v>
      </c>
      <c r="E29" s="32">
        <v>4</v>
      </c>
      <c r="F29" s="33">
        <v>4</v>
      </c>
      <c r="G29" s="34"/>
      <c r="H29" s="34"/>
      <c r="I29" s="31"/>
      <c r="J29" s="32">
        <v>10</v>
      </c>
      <c r="K29" s="32">
        <v>5</v>
      </c>
      <c r="L29" s="32">
        <v>13</v>
      </c>
      <c r="M29" s="32">
        <v>12</v>
      </c>
      <c r="N29" s="32">
        <v>11</v>
      </c>
      <c r="O29" s="32">
        <v>2</v>
      </c>
      <c r="P29" s="32">
        <v>3</v>
      </c>
      <c r="Q29" s="32">
        <v>4</v>
      </c>
      <c r="R29" s="32">
        <v>7</v>
      </c>
      <c r="S29" s="32">
        <v>15</v>
      </c>
      <c r="T29" s="32">
        <v>14</v>
      </c>
      <c r="U29" s="32">
        <v>1</v>
      </c>
      <c r="V29" s="32">
        <v>6</v>
      </c>
      <c r="W29" s="32">
        <v>9</v>
      </c>
      <c r="X29" s="33">
        <v>8</v>
      </c>
      <c r="Y29" s="2"/>
      <c r="Z29" s="13">
        <v>5</v>
      </c>
      <c r="AA29" s="2">
        <f t="shared" si="1"/>
        <v>1</v>
      </c>
      <c r="AB29" s="13">
        <f t="shared" si="6"/>
        <v>2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50">
        <v>1</v>
      </c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</row>
    <row r="30" spans="1:126" ht="15.75" thickBot="1" x14ac:dyDescent="0.3">
      <c r="A30" s="30" t="s">
        <v>84</v>
      </c>
      <c r="B30" s="31" t="s">
        <v>85</v>
      </c>
      <c r="C30" s="32">
        <v>4</v>
      </c>
      <c r="D30" s="32">
        <v>2</v>
      </c>
      <c r="E30" s="32">
        <v>4</v>
      </c>
      <c r="F30" s="33">
        <v>3</v>
      </c>
      <c r="G30" s="34"/>
      <c r="H30" s="34"/>
      <c r="I30" s="31"/>
      <c r="J30" s="32">
        <v>12</v>
      </c>
      <c r="K30" s="32">
        <v>4</v>
      </c>
      <c r="L30" s="32">
        <v>9</v>
      </c>
      <c r="M30" s="32">
        <v>2</v>
      </c>
      <c r="N30" s="32">
        <v>1</v>
      </c>
      <c r="O30" s="47">
        <v>15</v>
      </c>
      <c r="P30" s="32">
        <v>7</v>
      </c>
      <c r="Q30" s="32">
        <v>8</v>
      </c>
      <c r="R30" s="32">
        <v>14</v>
      </c>
      <c r="S30" s="32">
        <v>3</v>
      </c>
      <c r="T30" s="32">
        <v>10</v>
      </c>
      <c r="U30" s="32">
        <v>13</v>
      </c>
      <c r="V30" s="32">
        <v>6</v>
      </c>
      <c r="W30" s="32">
        <v>5</v>
      </c>
      <c r="X30" s="33">
        <v>11</v>
      </c>
      <c r="Y30" s="2"/>
      <c r="Z30" s="13">
        <v>12</v>
      </c>
      <c r="AA30" s="2">
        <f t="shared" si="1"/>
        <v>0</v>
      </c>
      <c r="AB30" s="13">
        <f t="shared" si="6"/>
        <v>1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50">
        <v>1</v>
      </c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</row>
    <row r="31" spans="1:126" ht="15.75" thickBot="1" x14ac:dyDescent="0.3">
      <c r="A31" s="30" t="s">
        <v>86</v>
      </c>
      <c r="B31" s="31" t="s">
        <v>87</v>
      </c>
      <c r="C31" s="32">
        <v>1</v>
      </c>
      <c r="D31" s="32">
        <v>4</v>
      </c>
      <c r="E31" s="32">
        <v>3</v>
      </c>
      <c r="F31" s="33">
        <v>3</v>
      </c>
      <c r="G31" s="34"/>
      <c r="H31" s="34"/>
      <c r="I31" s="31"/>
      <c r="J31" s="32">
        <v>7</v>
      </c>
      <c r="K31" s="32">
        <v>3</v>
      </c>
      <c r="L31" s="32">
        <v>5</v>
      </c>
      <c r="M31" s="32">
        <v>4</v>
      </c>
      <c r="N31" s="32">
        <v>11</v>
      </c>
      <c r="O31" s="47">
        <v>15</v>
      </c>
      <c r="P31" s="32">
        <v>6</v>
      </c>
      <c r="Q31" s="32"/>
      <c r="R31" s="32"/>
      <c r="S31" s="32"/>
      <c r="T31" s="32"/>
      <c r="U31" s="32"/>
      <c r="V31" s="32"/>
      <c r="W31" s="32"/>
      <c r="X31" s="33"/>
      <c r="Y31" s="2"/>
      <c r="Z31" s="13">
        <v>11</v>
      </c>
      <c r="AA31" s="2">
        <f t="shared" si="1"/>
        <v>32</v>
      </c>
      <c r="AB31" s="13">
        <f t="shared" si="6"/>
        <v>5</v>
      </c>
      <c r="AC31" s="2"/>
      <c r="AD31" s="2"/>
      <c r="AE31" s="2"/>
      <c r="AF31" s="2"/>
      <c r="AG31" s="2"/>
      <c r="AH31"/>
      <c r="AI31"/>
      <c r="AJ31"/>
      <c r="AK31"/>
      <c r="AL31"/>
      <c r="AM31" s="2"/>
      <c r="AN31" s="2"/>
      <c r="AO31" s="2"/>
      <c r="AP31" s="2"/>
      <c r="AQ31" s="2"/>
      <c r="AR31" s="2"/>
      <c r="AS31" s="2"/>
      <c r="AT31" s="2"/>
      <c r="AU31" s="50">
        <v>2</v>
      </c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</row>
    <row r="32" spans="1:126" x14ac:dyDescent="0.25">
      <c r="AV32" s="2"/>
      <c r="AW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</row>
    <row r="33" spans="1:126" x14ac:dyDescent="0.25">
      <c r="A33" s="53"/>
      <c r="B33" s="53"/>
      <c r="C33" s="54"/>
      <c r="D33" s="54"/>
      <c r="E33" s="54"/>
      <c r="F33" s="54"/>
      <c r="G33" s="53"/>
      <c r="H33" s="53"/>
      <c r="I33" s="53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AU33" s="54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</row>
    <row r="34" spans="1:126" x14ac:dyDescent="0.25"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</row>
    <row r="35" spans="1:126" x14ac:dyDescent="0.25">
      <c r="A35" s="53"/>
      <c r="B35" s="53"/>
      <c r="C35" s="54"/>
      <c r="D35" s="54"/>
      <c r="E35" s="54"/>
      <c r="F35" s="54"/>
      <c r="G35" s="53"/>
      <c r="H35" s="53"/>
      <c r="I35" s="53"/>
      <c r="J35" s="54"/>
      <c r="K35" s="54"/>
      <c r="L35" s="54"/>
      <c r="M35" s="54"/>
      <c r="N35" s="54"/>
      <c r="O35" s="54"/>
      <c r="P35" s="54"/>
      <c r="Q35" s="53"/>
      <c r="R35" s="53"/>
      <c r="S35" s="53"/>
      <c r="T35" s="53"/>
      <c r="U35" s="53"/>
      <c r="V35" s="53"/>
      <c r="W35" s="53"/>
      <c r="X35" s="53"/>
      <c r="AU35" s="54"/>
    </row>
    <row r="36" spans="1:126" x14ac:dyDescent="0.25">
      <c r="A36" s="53"/>
      <c r="B36" s="53"/>
      <c r="C36" s="54"/>
      <c r="D36" s="54"/>
      <c r="E36" s="54"/>
      <c r="F36" s="54"/>
      <c r="G36" s="53"/>
      <c r="H36" s="53"/>
      <c r="I36" s="53"/>
      <c r="J36" s="54"/>
      <c r="K36" s="54"/>
      <c r="L36" s="54"/>
      <c r="M36" s="54"/>
      <c r="N36" s="54"/>
      <c r="O36" s="54"/>
      <c r="P36" s="54"/>
      <c r="Q36" s="53"/>
      <c r="R36" s="53"/>
      <c r="S36" s="53"/>
      <c r="T36" s="53"/>
      <c r="U36" s="53"/>
      <c r="V36" s="53"/>
      <c r="W36" s="53"/>
      <c r="X36" s="53"/>
      <c r="AA36" s="13">
        <v>15</v>
      </c>
      <c r="AU36" s="54"/>
    </row>
    <row r="37" spans="1:126" x14ac:dyDescent="0.25">
      <c r="AA37" s="13">
        <v>6</v>
      </c>
    </row>
    <row r="38" spans="1:126" x14ac:dyDescent="0.25">
      <c r="AA38" s="13">
        <v>10</v>
      </c>
    </row>
    <row r="39" spans="1:126" x14ac:dyDescent="0.25">
      <c r="AA39" s="13">
        <v>2</v>
      </c>
    </row>
    <row r="40" spans="1:126" x14ac:dyDescent="0.25">
      <c r="AA40" s="13">
        <v>8</v>
      </c>
    </row>
    <row r="41" spans="1:126" x14ac:dyDescent="0.25">
      <c r="AA41" s="13">
        <v>13</v>
      </c>
    </row>
    <row r="42" spans="1:126" x14ac:dyDescent="0.25">
      <c r="AA42" s="13">
        <v>4</v>
      </c>
    </row>
    <row r="43" spans="1:126" x14ac:dyDescent="0.25">
      <c r="AA43" s="13">
        <v>9</v>
      </c>
    </row>
    <row r="44" spans="1:126" x14ac:dyDescent="0.25">
      <c r="AA44" s="13">
        <v>11</v>
      </c>
    </row>
    <row r="45" spans="1:126" x14ac:dyDescent="0.25">
      <c r="AA45" s="13">
        <v>3</v>
      </c>
    </row>
    <row r="46" spans="1:126" x14ac:dyDescent="0.25">
      <c r="AA46" s="13">
        <v>12</v>
      </c>
    </row>
    <row r="47" spans="1:126" x14ac:dyDescent="0.25">
      <c r="AA47" s="13">
        <v>14</v>
      </c>
    </row>
    <row r="48" spans="1:126" x14ac:dyDescent="0.25">
      <c r="AA48" s="13">
        <v>5</v>
      </c>
    </row>
    <row r="49" spans="27:27" x14ac:dyDescent="0.25">
      <c r="AA49" s="13">
        <v>8</v>
      </c>
    </row>
    <row r="50" spans="27:27" x14ac:dyDescent="0.25">
      <c r="AA50" s="13">
        <v>1</v>
      </c>
    </row>
    <row r="51" spans="27:27" x14ac:dyDescent="0.25">
      <c r="AA51" s="13">
        <v>8</v>
      </c>
    </row>
    <row r="52" spans="27:27" x14ac:dyDescent="0.25">
      <c r="AA52" s="13">
        <v>7</v>
      </c>
    </row>
    <row r="53" spans="27:27" x14ac:dyDescent="0.25">
      <c r="AA53" s="13">
        <v>12</v>
      </c>
    </row>
    <row r="54" spans="27:27" x14ac:dyDescent="0.25">
      <c r="AA54" s="13">
        <v>7</v>
      </c>
    </row>
    <row r="55" spans="27:27" x14ac:dyDescent="0.25">
      <c r="AA55" s="13">
        <v>2</v>
      </c>
    </row>
    <row r="56" spans="27:27" x14ac:dyDescent="0.25">
      <c r="AA56" s="13">
        <v>2</v>
      </c>
    </row>
    <row r="57" spans="27:27" x14ac:dyDescent="0.25">
      <c r="AA57" s="13">
        <v>14</v>
      </c>
    </row>
    <row r="58" spans="27:27" x14ac:dyDescent="0.25">
      <c r="AA58" s="13">
        <v>7</v>
      </c>
    </row>
    <row r="59" spans="27:27" x14ac:dyDescent="0.25">
      <c r="AA59" s="13">
        <v>5</v>
      </c>
    </row>
    <row r="60" spans="27:27" x14ac:dyDescent="0.25">
      <c r="AA60" s="13">
        <v>5</v>
      </c>
    </row>
    <row r="61" spans="27:27" x14ac:dyDescent="0.25">
      <c r="AA61" s="13">
        <v>11</v>
      </c>
    </row>
    <row r="62" spans="27:27" x14ac:dyDescent="0.25">
      <c r="AA62" s="13">
        <v>2</v>
      </c>
    </row>
    <row r="63" spans="27:27" x14ac:dyDescent="0.25">
      <c r="AA63" s="13">
        <v>7</v>
      </c>
    </row>
    <row r="64" spans="27:27" x14ac:dyDescent="0.25">
      <c r="AA64" s="13">
        <v>12</v>
      </c>
    </row>
    <row r="80" spans="1:24" x14ac:dyDescent="0.25">
      <c r="A80" s="52" t="str">
        <f>IF(A3=A45,"","ICI")</f>
        <v>ICI</v>
      </c>
      <c r="B80" s="52" t="str">
        <f t="shared" ref="B80:X80" si="7">IF(B3=B45,"","ICI")</f>
        <v>ICI</v>
      </c>
      <c r="C80" s="52" t="str">
        <f t="shared" si="7"/>
        <v>ICI</v>
      </c>
      <c r="D80" s="52" t="str">
        <f t="shared" si="7"/>
        <v>ICI</v>
      </c>
      <c r="E80" s="52" t="str">
        <f t="shared" si="7"/>
        <v>ICI</v>
      </c>
      <c r="F80" s="52" t="str">
        <f t="shared" si="7"/>
        <v>ICI</v>
      </c>
      <c r="G80" s="52" t="str">
        <f t="shared" si="7"/>
        <v/>
      </c>
      <c r="H80" s="52" t="str">
        <f t="shared" si="7"/>
        <v/>
      </c>
      <c r="I80" s="52" t="str">
        <f t="shared" si="7"/>
        <v/>
      </c>
      <c r="J80" s="52" t="str">
        <f t="shared" si="7"/>
        <v>ICI</v>
      </c>
      <c r="K80" s="52" t="str">
        <f t="shared" si="7"/>
        <v>ICI</v>
      </c>
      <c r="L80" s="52" t="str">
        <f t="shared" si="7"/>
        <v>ICI</v>
      </c>
      <c r="M80" s="52" t="str">
        <f t="shared" si="7"/>
        <v>ICI</v>
      </c>
      <c r="N80" s="52" t="str">
        <f t="shared" si="7"/>
        <v>ICI</v>
      </c>
      <c r="O80" s="52" t="str">
        <f t="shared" si="7"/>
        <v>ICI</v>
      </c>
      <c r="P80" s="52" t="str">
        <f t="shared" si="7"/>
        <v>ICI</v>
      </c>
      <c r="Q80" s="52" t="str">
        <f t="shared" si="7"/>
        <v>ICI</v>
      </c>
      <c r="R80" s="52" t="str">
        <f t="shared" si="7"/>
        <v>ICI</v>
      </c>
      <c r="S80" s="52" t="str">
        <f t="shared" si="7"/>
        <v>ICI</v>
      </c>
      <c r="T80" s="52" t="str">
        <f t="shared" si="7"/>
        <v>ICI</v>
      </c>
      <c r="U80" s="52" t="str">
        <f t="shared" si="7"/>
        <v>ICI</v>
      </c>
      <c r="V80" s="52" t="str">
        <f t="shared" si="7"/>
        <v>ICI</v>
      </c>
      <c r="W80" s="52" t="str">
        <f t="shared" si="7"/>
        <v>ICI</v>
      </c>
      <c r="X80" s="52" t="str">
        <f t="shared" si="7"/>
        <v>ICI</v>
      </c>
    </row>
    <row r="81" spans="1:24" x14ac:dyDescent="0.25">
      <c r="A81" s="52" t="str">
        <f t="shared" ref="A81:X87" si="8">IF(A4=A46,"","ICI")</f>
        <v>ICI</v>
      </c>
      <c r="B81" s="52" t="str">
        <f t="shared" si="8"/>
        <v>ICI</v>
      </c>
      <c r="C81" s="52" t="str">
        <f t="shared" si="8"/>
        <v>ICI</v>
      </c>
      <c r="D81" s="52" t="str">
        <f t="shared" si="8"/>
        <v>ICI</v>
      </c>
      <c r="E81" s="52" t="str">
        <f t="shared" si="8"/>
        <v>ICI</v>
      </c>
      <c r="F81" s="52" t="str">
        <f t="shared" si="8"/>
        <v>ICI</v>
      </c>
      <c r="G81" s="52" t="str">
        <f t="shared" si="8"/>
        <v/>
      </c>
      <c r="H81" s="52" t="str">
        <f t="shared" si="8"/>
        <v/>
      </c>
      <c r="I81" s="52" t="str">
        <f t="shared" si="8"/>
        <v/>
      </c>
      <c r="J81" s="52" t="str">
        <f t="shared" si="8"/>
        <v>ICI</v>
      </c>
      <c r="K81" s="52" t="str">
        <f t="shared" si="8"/>
        <v>ICI</v>
      </c>
      <c r="L81" s="52" t="str">
        <f t="shared" si="8"/>
        <v>ICI</v>
      </c>
      <c r="M81" s="52" t="str">
        <f t="shared" si="8"/>
        <v>ICI</v>
      </c>
      <c r="N81" s="52" t="str">
        <f t="shared" si="8"/>
        <v>ICI</v>
      </c>
      <c r="O81" s="52" t="str">
        <f t="shared" si="8"/>
        <v>ICI</v>
      </c>
      <c r="P81" s="52" t="str">
        <f t="shared" si="8"/>
        <v>ICI</v>
      </c>
      <c r="Q81" s="52" t="str">
        <f t="shared" si="8"/>
        <v>ICI</v>
      </c>
      <c r="R81" s="52" t="str">
        <f t="shared" si="8"/>
        <v>ICI</v>
      </c>
      <c r="S81" s="52" t="str">
        <f t="shared" si="8"/>
        <v>ICI</v>
      </c>
      <c r="T81" s="52" t="str">
        <f t="shared" si="8"/>
        <v>ICI</v>
      </c>
      <c r="U81" s="52" t="str">
        <f t="shared" si="8"/>
        <v>ICI</v>
      </c>
      <c r="V81" s="52" t="str">
        <f t="shared" si="8"/>
        <v>ICI</v>
      </c>
      <c r="W81" s="52" t="str">
        <f t="shared" si="8"/>
        <v>ICI</v>
      </c>
      <c r="X81" s="52" t="str">
        <f t="shared" si="8"/>
        <v>ICI</v>
      </c>
    </row>
    <row r="82" spans="1:24" x14ac:dyDescent="0.25">
      <c r="A82" s="52" t="str">
        <f t="shared" si="8"/>
        <v>ICI</v>
      </c>
      <c r="B82" s="52" t="str">
        <f t="shared" si="8"/>
        <v>ICI</v>
      </c>
      <c r="C82" s="52" t="str">
        <f t="shared" si="8"/>
        <v>ICI</v>
      </c>
      <c r="D82" s="52" t="str">
        <f t="shared" si="8"/>
        <v>ICI</v>
      </c>
      <c r="E82" s="52" t="str">
        <f t="shared" si="8"/>
        <v>ICI</v>
      </c>
      <c r="F82" s="52" t="str">
        <f t="shared" si="8"/>
        <v>ICI</v>
      </c>
      <c r="G82" s="52" t="str">
        <f t="shared" si="8"/>
        <v/>
      </c>
      <c r="H82" s="52" t="str">
        <f t="shared" si="8"/>
        <v/>
      </c>
      <c r="I82" s="52" t="str">
        <f t="shared" si="8"/>
        <v/>
      </c>
      <c r="J82" s="52" t="str">
        <f t="shared" si="8"/>
        <v>ICI</v>
      </c>
      <c r="K82" s="52" t="str">
        <f t="shared" si="8"/>
        <v>ICI</v>
      </c>
      <c r="L82" s="52" t="str">
        <f t="shared" si="8"/>
        <v>ICI</v>
      </c>
      <c r="M82" s="52" t="str">
        <f t="shared" si="8"/>
        <v>ICI</v>
      </c>
      <c r="N82" s="52" t="str">
        <f t="shared" si="8"/>
        <v>ICI</v>
      </c>
      <c r="O82" s="52" t="str">
        <f t="shared" si="8"/>
        <v>ICI</v>
      </c>
      <c r="P82" s="52" t="str">
        <f t="shared" si="8"/>
        <v>ICI</v>
      </c>
      <c r="Q82" s="52" t="str">
        <f t="shared" si="8"/>
        <v>ICI</v>
      </c>
      <c r="R82" s="52" t="str">
        <f t="shared" si="8"/>
        <v>ICI</v>
      </c>
      <c r="S82" s="52" t="str">
        <f t="shared" si="8"/>
        <v>ICI</v>
      </c>
      <c r="T82" s="52" t="str">
        <f t="shared" si="8"/>
        <v>ICI</v>
      </c>
      <c r="U82" s="52" t="str">
        <f t="shared" si="8"/>
        <v>ICI</v>
      </c>
      <c r="V82" s="52" t="str">
        <f t="shared" si="8"/>
        <v>ICI</v>
      </c>
      <c r="W82" s="52" t="str">
        <f t="shared" si="8"/>
        <v>ICI</v>
      </c>
      <c r="X82" s="52" t="str">
        <f t="shared" si="8"/>
        <v>ICI</v>
      </c>
    </row>
    <row r="83" spans="1:24" x14ac:dyDescent="0.25">
      <c r="A83" s="52" t="str">
        <f t="shared" si="8"/>
        <v>ICI</v>
      </c>
      <c r="B83" s="52" t="str">
        <f t="shared" si="8"/>
        <v>ICI</v>
      </c>
      <c r="C83" s="52" t="str">
        <f t="shared" si="8"/>
        <v>ICI</v>
      </c>
      <c r="D83" s="52" t="str">
        <f t="shared" si="8"/>
        <v>ICI</v>
      </c>
      <c r="E83" s="52" t="str">
        <f t="shared" si="8"/>
        <v>ICI</v>
      </c>
      <c r="F83" s="52" t="str">
        <f t="shared" si="8"/>
        <v>ICI</v>
      </c>
      <c r="G83" s="52" t="str">
        <f t="shared" si="8"/>
        <v/>
      </c>
      <c r="H83" s="52" t="str">
        <f t="shared" si="8"/>
        <v/>
      </c>
      <c r="I83" s="52" t="str">
        <f t="shared" si="8"/>
        <v/>
      </c>
      <c r="J83" s="52" t="str">
        <f t="shared" si="8"/>
        <v>ICI</v>
      </c>
      <c r="K83" s="52" t="str">
        <f t="shared" si="8"/>
        <v>ICI</v>
      </c>
      <c r="L83" s="52" t="str">
        <f t="shared" si="8"/>
        <v>ICI</v>
      </c>
      <c r="M83" s="52" t="str">
        <f t="shared" si="8"/>
        <v>ICI</v>
      </c>
      <c r="N83" s="52" t="str">
        <f t="shared" si="8"/>
        <v>ICI</v>
      </c>
      <c r="O83" s="52" t="str">
        <f t="shared" si="8"/>
        <v>ICI</v>
      </c>
      <c r="P83" s="52" t="str">
        <f t="shared" si="8"/>
        <v>ICI</v>
      </c>
      <c r="Q83" s="52" t="str">
        <f t="shared" si="8"/>
        <v>ICI</v>
      </c>
      <c r="R83" s="52" t="str">
        <f t="shared" si="8"/>
        <v>ICI</v>
      </c>
      <c r="S83" s="52" t="str">
        <f t="shared" si="8"/>
        <v>ICI</v>
      </c>
      <c r="T83" s="52" t="str">
        <f t="shared" si="8"/>
        <v>ICI</v>
      </c>
      <c r="U83" s="52" t="str">
        <f t="shared" si="8"/>
        <v>ICI</v>
      </c>
      <c r="V83" s="52" t="str">
        <f t="shared" si="8"/>
        <v>ICI</v>
      </c>
      <c r="W83" s="52" t="str">
        <f t="shared" si="8"/>
        <v>ICI</v>
      </c>
      <c r="X83" s="52" t="str">
        <f t="shared" si="8"/>
        <v>ICI</v>
      </c>
    </row>
    <row r="84" spans="1:24" x14ac:dyDescent="0.25">
      <c r="A84" s="52" t="str">
        <f t="shared" si="8"/>
        <v>ICI</v>
      </c>
      <c r="B84" s="52" t="str">
        <f t="shared" si="8"/>
        <v>ICI</v>
      </c>
      <c r="C84" s="52" t="str">
        <f t="shared" si="8"/>
        <v>ICI</v>
      </c>
      <c r="D84" s="52" t="str">
        <f t="shared" si="8"/>
        <v>ICI</v>
      </c>
      <c r="E84" s="52" t="str">
        <f t="shared" si="8"/>
        <v>ICI</v>
      </c>
      <c r="F84" s="52" t="str">
        <f t="shared" si="8"/>
        <v>ICI</v>
      </c>
      <c r="G84" s="52" t="str">
        <f t="shared" si="8"/>
        <v/>
      </c>
      <c r="H84" s="52" t="str">
        <f t="shared" si="8"/>
        <v/>
      </c>
      <c r="I84" s="52" t="str">
        <f t="shared" si="8"/>
        <v/>
      </c>
      <c r="J84" s="52" t="str">
        <f t="shared" si="8"/>
        <v>ICI</v>
      </c>
      <c r="K84" s="52" t="str">
        <f t="shared" si="8"/>
        <v>ICI</v>
      </c>
      <c r="L84" s="52" t="str">
        <f t="shared" si="8"/>
        <v>ICI</v>
      </c>
      <c r="M84" s="52" t="str">
        <f t="shared" si="8"/>
        <v>ICI</v>
      </c>
      <c r="N84" s="52" t="str">
        <f t="shared" si="8"/>
        <v>ICI</v>
      </c>
      <c r="O84" s="52" t="str">
        <f t="shared" si="8"/>
        <v>ICI</v>
      </c>
      <c r="P84" s="52" t="str">
        <f t="shared" si="8"/>
        <v>ICI</v>
      </c>
      <c r="Q84" s="52" t="str">
        <f t="shared" si="8"/>
        <v>ICI</v>
      </c>
      <c r="R84" s="52" t="str">
        <f t="shared" si="8"/>
        <v>ICI</v>
      </c>
      <c r="S84" s="52" t="str">
        <f t="shared" si="8"/>
        <v>ICI</v>
      </c>
      <c r="T84" s="52" t="str">
        <f t="shared" si="8"/>
        <v>ICI</v>
      </c>
      <c r="U84" s="52" t="str">
        <f t="shared" si="8"/>
        <v>ICI</v>
      </c>
      <c r="V84" s="52" t="str">
        <f t="shared" si="8"/>
        <v>ICI</v>
      </c>
      <c r="W84" s="52" t="str">
        <f t="shared" si="8"/>
        <v>ICI</v>
      </c>
      <c r="X84" s="52" t="str">
        <f t="shared" si="8"/>
        <v>ICI</v>
      </c>
    </row>
    <row r="85" spans="1:24" x14ac:dyDescent="0.25">
      <c r="A85" s="52" t="str">
        <f t="shared" si="8"/>
        <v>ICI</v>
      </c>
      <c r="B85" s="52" t="str">
        <f t="shared" si="8"/>
        <v>ICI</v>
      </c>
      <c r="C85" s="52" t="str">
        <f t="shared" si="8"/>
        <v>ICI</v>
      </c>
      <c r="D85" s="52" t="str">
        <f t="shared" si="8"/>
        <v>ICI</v>
      </c>
      <c r="E85" s="52" t="str">
        <f t="shared" si="8"/>
        <v>ICI</v>
      </c>
      <c r="F85" s="52" t="str">
        <f t="shared" si="8"/>
        <v>ICI</v>
      </c>
      <c r="G85" s="52" t="str">
        <f t="shared" si="8"/>
        <v>ICI</v>
      </c>
      <c r="H85" s="52" t="str">
        <f t="shared" si="8"/>
        <v/>
      </c>
      <c r="I85" s="52" t="str">
        <f t="shared" si="8"/>
        <v/>
      </c>
      <c r="J85" s="52" t="str">
        <f t="shared" si="8"/>
        <v>ICI</v>
      </c>
      <c r="K85" s="52" t="str">
        <f t="shared" si="8"/>
        <v>ICI</v>
      </c>
      <c r="L85" s="52" t="str">
        <f t="shared" si="8"/>
        <v>ICI</v>
      </c>
      <c r="M85" s="52" t="str">
        <f t="shared" si="8"/>
        <v>ICI</v>
      </c>
      <c r="N85" s="52" t="str">
        <f t="shared" si="8"/>
        <v>ICI</v>
      </c>
      <c r="O85" s="52" t="str">
        <f t="shared" si="8"/>
        <v>ICI</v>
      </c>
      <c r="P85" s="52" t="str">
        <f t="shared" si="8"/>
        <v>ICI</v>
      </c>
      <c r="Q85" s="52" t="str">
        <f t="shared" si="8"/>
        <v>ICI</v>
      </c>
      <c r="R85" s="52" t="str">
        <f t="shared" si="8"/>
        <v>ICI</v>
      </c>
      <c r="S85" s="52" t="str">
        <f t="shared" si="8"/>
        <v>ICI</v>
      </c>
      <c r="T85" s="52" t="str">
        <f t="shared" si="8"/>
        <v>ICI</v>
      </c>
      <c r="U85" s="52" t="str">
        <f t="shared" si="8"/>
        <v>ICI</v>
      </c>
      <c r="V85" s="52" t="str">
        <f t="shared" si="8"/>
        <v>ICI</v>
      </c>
      <c r="W85" s="52" t="str">
        <f t="shared" si="8"/>
        <v>ICI</v>
      </c>
      <c r="X85" s="52" t="str">
        <f t="shared" si="8"/>
        <v>ICI</v>
      </c>
    </row>
    <row r="86" spans="1:24" x14ac:dyDescent="0.25">
      <c r="A86" s="52" t="str">
        <f t="shared" si="8"/>
        <v>ICI</v>
      </c>
      <c r="B86" s="52" t="str">
        <f t="shared" si="8"/>
        <v>ICI</v>
      </c>
      <c r="C86" s="52" t="str">
        <f t="shared" si="8"/>
        <v>ICI</v>
      </c>
      <c r="D86" s="52" t="str">
        <f t="shared" si="8"/>
        <v>ICI</v>
      </c>
      <c r="E86" s="52" t="str">
        <f t="shared" si="8"/>
        <v>ICI</v>
      </c>
      <c r="F86" s="52" t="str">
        <f t="shared" si="8"/>
        <v>ICI</v>
      </c>
      <c r="G86" s="52" t="str">
        <f t="shared" si="8"/>
        <v>ICI</v>
      </c>
      <c r="H86" s="52" t="str">
        <f t="shared" si="8"/>
        <v/>
      </c>
      <c r="I86" s="52" t="str">
        <f t="shared" si="8"/>
        <v/>
      </c>
      <c r="J86" s="52" t="str">
        <f t="shared" si="8"/>
        <v>ICI</v>
      </c>
      <c r="K86" s="52" t="str">
        <f t="shared" si="8"/>
        <v>ICI</v>
      </c>
      <c r="L86" s="52" t="str">
        <f t="shared" si="8"/>
        <v>ICI</v>
      </c>
      <c r="M86" s="52" t="str">
        <f t="shared" si="8"/>
        <v>ICI</v>
      </c>
      <c r="N86" s="52" t="str">
        <f t="shared" si="8"/>
        <v/>
      </c>
      <c r="O86" s="52" t="str">
        <f t="shared" si="8"/>
        <v/>
      </c>
      <c r="P86" s="52" t="str">
        <f t="shared" si="8"/>
        <v/>
      </c>
      <c r="Q86" s="52" t="str">
        <f t="shared" si="8"/>
        <v/>
      </c>
      <c r="R86" s="52" t="str">
        <f t="shared" si="8"/>
        <v/>
      </c>
      <c r="S86" s="52" t="str">
        <f t="shared" si="8"/>
        <v/>
      </c>
      <c r="T86" s="52" t="str">
        <f t="shared" si="8"/>
        <v/>
      </c>
      <c r="U86" s="52" t="str">
        <f t="shared" si="8"/>
        <v/>
      </c>
      <c r="V86" s="52" t="str">
        <f t="shared" si="8"/>
        <v/>
      </c>
      <c r="W86" s="52" t="str">
        <f t="shared" si="8"/>
        <v>ICI</v>
      </c>
      <c r="X86" s="52" t="str">
        <f t="shared" si="8"/>
        <v>ICI</v>
      </c>
    </row>
    <row r="87" spans="1:24" x14ac:dyDescent="0.25">
      <c r="A87" s="52" t="str">
        <f t="shared" si="8"/>
        <v>ICI</v>
      </c>
      <c r="B87" s="52" t="str">
        <f t="shared" si="8"/>
        <v>ICI</v>
      </c>
      <c r="C87" s="52" t="str">
        <f t="shared" si="8"/>
        <v>ICI</v>
      </c>
      <c r="D87" s="52" t="str">
        <f t="shared" si="8"/>
        <v>ICI</v>
      </c>
      <c r="E87" s="52" t="str">
        <f t="shared" si="8"/>
        <v>ICI</v>
      </c>
      <c r="F87" s="52" t="str">
        <f t="shared" si="8"/>
        <v>ICI</v>
      </c>
      <c r="G87" s="52" t="str">
        <f t="shared" si="8"/>
        <v/>
      </c>
      <c r="H87" s="52" t="str">
        <f t="shared" si="8"/>
        <v/>
      </c>
      <c r="I87" s="52" t="str">
        <f t="shared" si="8"/>
        <v/>
      </c>
      <c r="J87" s="52" t="str">
        <f t="shared" si="8"/>
        <v>ICI</v>
      </c>
      <c r="K87" s="52" t="str">
        <f t="shared" si="8"/>
        <v>ICI</v>
      </c>
      <c r="L87" s="52" t="str">
        <f t="shared" si="8"/>
        <v>ICI</v>
      </c>
      <c r="M87" s="52" t="str">
        <f t="shared" si="8"/>
        <v>ICI</v>
      </c>
      <c r="N87" s="52" t="str">
        <f t="shared" si="8"/>
        <v>ICI</v>
      </c>
      <c r="O87" s="52" t="str">
        <f t="shared" si="8"/>
        <v>ICI</v>
      </c>
      <c r="P87" s="52" t="str">
        <f t="shared" si="8"/>
        <v>ICI</v>
      </c>
      <c r="Q87" s="52" t="str">
        <f t="shared" si="8"/>
        <v>ICI</v>
      </c>
      <c r="R87" s="52" t="str">
        <f t="shared" si="8"/>
        <v>ICI</v>
      </c>
      <c r="S87" s="52" t="str">
        <f t="shared" si="8"/>
        <v>ICI</v>
      </c>
      <c r="T87" s="52" t="str">
        <f t="shared" si="8"/>
        <v>ICI</v>
      </c>
      <c r="U87" s="52" t="str">
        <f t="shared" si="8"/>
        <v>ICI</v>
      </c>
      <c r="V87" s="52" t="str">
        <f t="shared" si="8"/>
        <v>ICI</v>
      </c>
      <c r="W87" s="52" t="str">
        <f t="shared" si="8"/>
        <v>ICI</v>
      </c>
      <c r="X87" s="52" t="str">
        <f t="shared" si="8"/>
        <v>ICI</v>
      </c>
    </row>
    <row r="88" spans="1:24" x14ac:dyDescent="0.25">
      <c r="A88" s="52" t="e">
        <f>IF(#REF!=A53,"","ICI")</f>
        <v>#REF!</v>
      </c>
      <c r="B88" s="52" t="e">
        <f>IF(#REF!=B53,"","ICI")</f>
        <v>#REF!</v>
      </c>
      <c r="C88" s="52" t="e">
        <f>IF(#REF!=C53,"","ICI")</f>
        <v>#REF!</v>
      </c>
      <c r="D88" s="52" t="e">
        <f>IF(#REF!=D53,"","ICI")</f>
        <v>#REF!</v>
      </c>
      <c r="E88" s="52" t="e">
        <f>IF(#REF!=E53,"","ICI")</f>
        <v>#REF!</v>
      </c>
      <c r="F88" s="52" t="e">
        <f>IF(#REF!=F53,"","ICI")</f>
        <v>#REF!</v>
      </c>
      <c r="G88" s="52" t="e">
        <f>IF(#REF!=G53,"","ICI")</f>
        <v>#REF!</v>
      </c>
      <c r="H88" s="52" t="e">
        <f>IF(#REF!=H53,"","ICI")</f>
        <v>#REF!</v>
      </c>
      <c r="I88" s="52" t="e">
        <f>IF(#REF!=I53,"","ICI")</f>
        <v>#REF!</v>
      </c>
      <c r="J88" s="52" t="e">
        <f>IF(#REF!=J53,"","ICI")</f>
        <v>#REF!</v>
      </c>
      <c r="K88" s="52" t="e">
        <f>IF(#REF!=K53,"","ICI")</f>
        <v>#REF!</v>
      </c>
      <c r="L88" s="52" t="e">
        <f>IF(#REF!=L53,"","ICI")</f>
        <v>#REF!</v>
      </c>
      <c r="M88" s="52" t="e">
        <f>IF(#REF!=M53,"","ICI")</f>
        <v>#REF!</v>
      </c>
      <c r="N88" s="52" t="e">
        <f>IF(#REF!=N53,"","ICI")</f>
        <v>#REF!</v>
      </c>
      <c r="O88" s="52" t="e">
        <f>IF(#REF!=O53,"","ICI")</f>
        <v>#REF!</v>
      </c>
      <c r="P88" s="52" t="e">
        <f>IF(#REF!=P53,"","ICI")</f>
        <v>#REF!</v>
      </c>
      <c r="Q88" s="52" t="e">
        <f>IF(#REF!=Q53,"","ICI")</f>
        <v>#REF!</v>
      </c>
      <c r="R88" s="52" t="e">
        <f>IF(#REF!=R53,"","ICI")</f>
        <v>#REF!</v>
      </c>
      <c r="S88" s="52" t="e">
        <f>IF(#REF!=S53,"","ICI")</f>
        <v>#REF!</v>
      </c>
      <c r="T88" s="52" t="e">
        <f>IF(#REF!=T53,"","ICI")</f>
        <v>#REF!</v>
      </c>
      <c r="U88" s="52" t="e">
        <f>IF(#REF!=U53,"","ICI")</f>
        <v>#REF!</v>
      </c>
      <c r="V88" s="52" t="e">
        <f>IF(#REF!=V53,"","ICI")</f>
        <v>#REF!</v>
      </c>
      <c r="W88" s="52" t="e">
        <f>IF(#REF!=W53,"","ICI")</f>
        <v>#REF!</v>
      </c>
      <c r="X88" s="52" t="e">
        <f>IF(#REF!=X53,"","ICI")</f>
        <v>#REF!</v>
      </c>
    </row>
    <row r="89" spans="1:24" x14ac:dyDescent="0.25">
      <c r="A89" s="52" t="e">
        <f>IF(#REF!=A54,"","ICI")</f>
        <v>#REF!</v>
      </c>
      <c r="B89" s="52" t="e">
        <f>IF(#REF!=B54,"","ICI")</f>
        <v>#REF!</v>
      </c>
      <c r="C89" s="52" t="e">
        <f>IF(#REF!=C54,"","ICI")</f>
        <v>#REF!</v>
      </c>
      <c r="D89" s="52" t="e">
        <f>IF(#REF!=D54,"","ICI")</f>
        <v>#REF!</v>
      </c>
      <c r="E89" s="52" t="e">
        <f>IF(#REF!=E54,"","ICI")</f>
        <v>#REF!</v>
      </c>
      <c r="F89" s="52" t="e">
        <f>IF(#REF!=F54,"","ICI")</f>
        <v>#REF!</v>
      </c>
      <c r="G89" s="52" t="e">
        <f>IF(#REF!=G54,"","ICI")</f>
        <v>#REF!</v>
      </c>
      <c r="H89" s="52" t="e">
        <f>IF(#REF!=H54,"","ICI")</f>
        <v>#REF!</v>
      </c>
      <c r="I89" s="52" t="e">
        <f>IF(#REF!=I54,"","ICI")</f>
        <v>#REF!</v>
      </c>
      <c r="J89" s="52" t="e">
        <f>IF(#REF!=J54,"","ICI")</f>
        <v>#REF!</v>
      </c>
      <c r="K89" s="52" t="e">
        <f>IF(#REF!=K54,"","ICI")</f>
        <v>#REF!</v>
      </c>
      <c r="L89" s="52" t="e">
        <f>IF(#REF!=L54,"","ICI")</f>
        <v>#REF!</v>
      </c>
      <c r="M89" s="52" t="e">
        <f>IF(#REF!=M54,"","ICI")</f>
        <v>#REF!</v>
      </c>
      <c r="N89" s="52" t="e">
        <f>IF(#REF!=N54,"","ICI")</f>
        <v>#REF!</v>
      </c>
      <c r="O89" s="52" t="e">
        <f>IF(#REF!=O54,"","ICI")</f>
        <v>#REF!</v>
      </c>
      <c r="P89" s="52" t="e">
        <f>IF(#REF!=P54,"","ICI")</f>
        <v>#REF!</v>
      </c>
      <c r="Q89" s="52" t="e">
        <f>IF(#REF!=Q54,"","ICI")</f>
        <v>#REF!</v>
      </c>
      <c r="R89" s="52" t="e">
        <f>IF(#REF!=R54,"","ICI")</f>
        <v>#REF!</v>
      </c>
      <c r="S89" s="52" t="e">
        <f>IF(#REF!=S54,"","ICI")</f>
        <v>#REF!</v>
      </c>
      <c r="T89" s="52" t="e">
        <f>IF(#REF!=T54,"","ICI")</f>
        <v>#REF!</v>
      </c>
      <c r="U89" s="52" t="e">
        <f>IF(#REF!=U54,"","ICI")</f>
        <v>#REF!</v>
      </c>
      <c r="V89" s="52" t="e">
        <f>IF(#REF!=V54,"","ICI")</f>
        <v>#REF!</v>
      </c>
      <c r="W89" s="52" t="e">
        <f>IF(#REF!=W54,"","ICI")</f>
        <v>#REF!</v>
      </c>
      <c r="X89" s="52" t="e">
        <f>IF(#REF!=X54,"","ICI")</f>
        <v>#REF!</v>
      </c>
    </row>
    <row r="90" spans="1:24" x14ac:dyDescent="0.25">
      <c r="A90" s="52" t="str">
        <f t="shared" ref="A90:X90" si="9">IF(A11=A55,"","ICI")</f>
        <v>ICI</v>
      </c>
      <c r="B90" s="52" t="str">
        <f t="shared" si="9"/>
        <v>ICI</v>
      </c>
      <c r="C90" s="52" t="str">
        <f t="shared" si="9"/>
        <v>ICI</v>
      </c>
      <c r="D90" s="52" t="str">
        <f t="shared" si="9"/>
        <v>ICI</v>
      </c>
      <c r="E90" s="52" t="str">
        <f t="shared" si="9"/>
        <v>ICI</v>
      </c>
      <c r="F90" s="52" t="str">
        <f t="shared" si="9"/>
        <v>ICI</v>
      </c>
      <c r="G90" s="52" t="str">
        <f t="shared" si="9"/>
        <v/>
      </c>
      <c r="H90" s="52" t="str">
        <f t="shared" si="9"/>
        <v/>
      </c>
      <c r="I90" s="52" t="str">
        <f t="shared" si="9"/>
        <v/>
      </c>
      <c r="J90" s="52" t="str">
        <f t="shared" si="9"/>
        <v/>
      </c>
      <c r="K90" s="52" t="str">
        <f t="shared" si="9"/>
        <v>ICI</v>
      </c>
      <c r="L90" s="52" t="str">
        <f t="shared" si="9"/>
        <v/>
      </c>
      <c r="M90" s="52" t="str">
        <f t="shared" si="9"/>
        <v/>
      </c>
      <c r="N90" s="52" t="str">
        <f t="shared" si="9"/>
        <v/>
      </c>
      <c r="O90" s="52" t="str">
        <f t="shared" si="9"/>
        <v/>
      </c>
      <c r="P90" s="52" t="str">
        <f t="shared" si="9"/>
        <v/>
      </c>
      <c r="Q90" s="52" t="str">
        <f t="shared" si="9"/>
        <v/>
      </c>
      <c r="R90" s="52" t="str">
        <f t="shared" si="9"/>
        <v/>
      </c>
      <c r="S90" s="52" t="str">
        <f t="shared" si="9"/>
        <v/>
      </c>
      <c r="T90" s="52" t="str">
        <f t="shared" si="9"/>
        <v/>
      </c>
      <c r="U90" s="52" t="str">
        <f t="shared" si="9"/>
        <v/>
      </c>
      <c r="V90" s="52" t="str">
        <f t="shared" si="9"/>
        <v/>
      </c>
      <c r="W90" s="52" t="str">
        <f t="shared" si="9"/>
        <v/>
      </c>
      <c r="X90" s="52" t="str">
        <f t="shared" si="9"/>
        <v/>
      </c>
    </row>
    <row r="91" spans="1:24" x14ac:dyDescent="0.25">
      <c r="A91" s="52" t="str">
        <f t="shared" ref="A91:X91" si="10">IF(A12=A56,"","ICI")</f>
        <v>ICI</v>
      </c>
      <c r="B91" s="52" t="str">
        <f t="shared" si="10"/>
        <v>ICI</v>
      </c>
      <c r="C91" s="52" t="str">
        <f t="shared" si="10"/>
        <v>ICI</v>
      </c>
      <c r="D91" s="52" t="str">
        <f t="shared" si="10"/>
        <v>ICI</v>
      </c>
      <c r="E91" s="52" t="str">
        <f t="shared" si="10"/>
        <v>ICI</v>
      </c>
      <c r="F91" s="52" t="str">
        <f t="shared" si="10"/>
        <v>ICI</v>
      </c>
      <c r="G91" s="52" t="str">
        <f t="shared" si="10"/>
        <v/>
      </c>
      <c r="H91" s="52" t="str">
        <f t="shared" si="10"/>
        <v/>
      </c>
      <c r="I91" s="52" t="str">
        <f t="shared" si="10"/>
        <v/>
      </c>
      <c r="J91" s="52" t="str">
        <f t="shared" si="10"/>
        <v>ICI</v>
      </c>
      <c r="K91" s="52" t="str">
        <f t="shared" si="10"/>
        <v>ICI</v>
      </c>
      <c r="L91" s="52" t="str">
        <f t="shared" si="10"/>
        <v>ICI</v>
      </c>
      <c r="M91" s="52" t="str">
        <f t="shared" si="10"/>
        <v>ICI</v>
      </c>
      <c r="N91" s="52" t="str">
        <f t="shared" si="10"/>
        <v>ICI</v>
      </c>
      <c r="O91" s="52" t="str">
        <f t="shared" si="10"/>
        <v>ICI</v>
      </c>
      <c r="P91" s="52" t="str">
        <f t="shared" si="10"/>
        <v>ICI</v>
      </c>
      <c r="Q91" s="52" t="str">
        <f t="shared" si="10"/>
        <v>ICI</v>
      </c>
      <c r="R91" s="52" t="str">
        <f t="shared" si="10"/>
        <v>ICI</v>
      </c>
      <c r="S91" s="52" t="str">
        <f t="shared" si="10"/>
        <v>ICI</v>
      </c>
      <c r="T91" s="52" t="str">
        <f t="shared" si="10"/>
        <v>ICI</v>
      </c>
      <c r="U91" s="52" t="str">
        <f t="shared" si="10"/>
        <v>ICI</v>
      </c>
      <c r="V91" s="52" t="str">
        <f t="shared" si="10"/>
        <v>ICI</v>
      </c>
      <c r="W91" s="52" t="str">
        <f t="shared" si="10"/>
        <v>ICI</v>
      </c>
      <c r="X91" s="52" t="str">
        <f t="shared" si="10"/>
        <v>ICI</v>
      </c>
    </row>
    <row r="92" spans="1:24" x14ac:dyDescent="0.25">
      <c r="A92" s="52" t="str">
        <f t="shared" ref="A92:X92" si="11">IF(A13=A57,"","ICI")</f>
        <v>ICI</v>
      </c>
      <c r="B92" s="52" t="str">
        <f t="shared" si="11"/>
        <v>ICI</v>
      </c>
      <c r="C92" s="52" t="str">
        <f t="shared" si="11"/>
        <v>ICI</v>
      </c>
      <c r="D92" s="52" t="str">
        <f t="shared" si="11"/>
        <v>ICI</v>
      </c>
      <c r="E92" s="52" t="str">
        <f t="shared" si="11"/>
        <v>ICI</v>
      </c>
      <c r="F92" s="52" t="str">
        <f t="shared" si="11"/>
        <v>ICI</v>
      </c>
      <c r="G92" s="52" t="str">
        <f t="shared" si="11"/>
        <v/>
      </c>
      <c r="H92" s="52" t="str">
        <f t="shared" si="11"/>
        <v/>
      </c>
      <c r="I92" s="52" t="str">
        <f t="shared" si="11"/>
        <v/>
      </c>
      <c r="J92" s="52" t="str">
        <f t="shared" si="11"/>
        <v>ICI</v>
      </c>
      <c r="K92" s="52" t="str">
        <f t="shared" si="11"/>
        <v>ICI</v>
      </c>
      <c r="L92" s="52" t="str">
        <f t="shared" si="11"/>
        <v>ICI</v>
      </c>
      <c r="M92" s="52" t="str">
        <f t="shared" si="11"/>
        <v>ICI</v>
      </c>
      <c r="N92" s="52" t="str">
        <f t="shared" si="11"/>
        <v>ICI</v>
      </c>
      <c r="O92" s="52" t="str">
        <f t="shared" si="11"/>
        <v>ICI</v>
      </c>
      <c r="P92" s="52" t="str">
        <f t="shared" si="11"/>
        <v>ICI</v>
      </c>
      <c r="Q92" s="52" t="str">
        <f t="shared" si="11"/>
        <v>ICI</v>
      </c>
      <c r="R92" s="52" t="str">
        <f t="shared" si="11"/>
        <v>ICI</v>
      </c>
      <c r="S92" s="52" t="str">
        <f t="shared" si="11"/>
        <v>ICI</v>
      </c>
      <c r="T92" s="52" t="str">
        <f t="shared" si="11"/>
        <v>ICI</v>
      </c>
      <c r="U92" s="52" t="str">
        <f t="shared" si="11"/>
        <v>ICI</v>
      </c>
      <c r="V92" s="52" t="str">
        <f t="shared" si="11"/>
        <v>ICI</v>
      </c>
      <c r="W92" s="52" t="str">
        <f t="shared" si="11"/>
        <v>ICI</v>
      </c>
      <c r="X92" s="52" t="str">
        <f t="shared" si="11"/>
        <v>ICI</v>
      </c>
    </row>
    <row r="93" spans="1:24" x14ac:dyDescent="0.25">
      <c r="A93" s="52" t="str">
        <f t="shared" ref="A93:X93" si="12">IF(A14=A58,"","ICI")</f>
        <v>ICI</v>
      </c>
      <c r="B93" s="52" t="str">
        <f t="shared" si="12"/>
        <v>ICI</v>
      </c>
      <c r="C93" s="52" t="str">
        <f t="shared" si="12"/>
        <v>ICI</v>
      </c>
      <c r="D93" s="52" t="str">
        <f t="shared" si="12"/>
        <v>ICI</v>
      </c>
      <c r="E93" s="52" t="str">
        <f t="shared" si="12"/>
        <v>ICI</v>
      </c>
      <c r="F93" s="52" t="str">
        <f t="shared" si="12"/>
        <v>ICI</v>
      </c>
      <c r="G93" s="52" t="str">
        <f t="shared" si="12"/>
        <v/>
      </c>
      <c r="H93" s="52" t="str">
        <f t="shared" si="12"/>
        <v/>
      </c>
      <c r="I93" s="52" t="str">
        <f t="shared" si="12"/>
        <v/>
      </c>
      <c r="J93" s="52" t="str">
        <f t="shared" si="12"/>
        <v/>
      </c>
      <c r="K93" s="52" t="str">
        <f t="shared" si="12"/>
        <v/>
      </c>
      <c r="L93" s="52" t="str">
        <f t="shared" si="12"/>
        <v/>
      </c>
      <c r="M93" s="52" t="str">
        <f t="shared" si="12"/>
        <v/>
      </c>
      <c r="N93" s="52" t="str">
        <f t="shared" si="12"/>
        <v/>
      </c>
      <c r="O93" s="52" t="str">
        <f t="shared" si="12"/>
        <v/>
      </c>
      <c r="P93" s="52" t="str">
        <f t="shared" si="12"/>
        <v/>
      </c>
      <c r="Q93" s="52" t="str">
        <f t="shared" si="12"/>
        <v/>
      </c>
      <c r="R93" s="52" t="str">
        <f t="shared" si="12"/>
        <v/>
      </c>
      <c r="S93" s="52" t="str">
        <f t="shared" si="12"/>
        <v/>
      </c>
      <c r="T93" s="52" t="str">
        <f t="shared" si="12"/>
        <v/>
      </c>
      <c r="U93" s="52" t="str">
        <f t="shared" si="12"/>
        <v/>
      </c>
      <c r="V93" s="52" t="str">
        <f t="shared" si="12"/>
        <v/>
      </c>
      <c r="W93" s="52" t="str">
        <f t="shared" si="12"/>
        <v/>
      </c>
      <c r="X93" s="52" t="str">
        <f t="shared" si="12"/>
        <v/>
      </c>
    </row>
    <row r="94" spans="1:24" x14ac:dyDescent="0.25">
      <c r="A94" s="52" t="str">
        <f t="shared" ref="A94:X94" si="13">IF(A15=A59,"","ICI")</f>
        <v>ICI</v>
      </c>
      <c r="B94" s="52" t="str">
        <f t="shared" si="13"/>
        <v>ICI</v>
      </c>
      <c r="C94" s="52" t="str">
        <f t="shared" si="13"/>
        <v>ICI</v>
      </c>
      <c r="D94" s="52" t="str">
        <f t="shared" si="13"/>
        <v>ICI</v>
      </c>
      <c r="E94" s="52" t="str">
        <f t="shared" si="13"/>
        <v>ICI</v>
      </c>
      <c r="F94" s="52" t="str">
        <f t="shared" si="13"/>
        <v>ICI</v>
      </c>
      <c r="G94" s="52" t="str">
        <f t="shared" si="13"/>
        <v/>
      </c>
      <c r="H94" s="52" t="str">
        <f t="shared" si="13"/>
        <v/>
      </c>
      <c r="I94" s="52" t="str">
        <f t="shared" si="13"/>
        <v/>
      </c>
      <c r="J94" s="52" t="str">
        <f t="shared" si="13"/>
        <v>ICI</v>
      </c>
      <c r="K94" s="52" t="str">
        <f t="shared" si="13"/>
        <v>ICI</v>
      </c>
      <c r="L94" s="52" t="str">
        <f t="shared" si="13"/>
        <v>ICI</v>
      </c>
      <c r="M94" s="52" t="str">
        <f t="shared" si="13"/>
        <v>ICI</v>
      </c>
      <c r="N94" s="52" t="str">
        <f t="shared" si="13"/>
        <v>ICI</v>
      </c>
      <c r="O94" s="52" t="str">
        <f t="shared" si="13"/>
        <v>ICI</v>
      </c>
      <c r="P94" s="52" t="str">
        <f t="shared" si="13"/>
        <v>ICI</v>
      </c>
      <c r="Q94" s="52" t="str">
        <f t="shared" si="13"/>
        <v>ICI</v>
      </c>
      <c r="R94" s="52" t="str">
        <f t="shared" si="13"/>
        <v>ICI</v>
      </c>
      <c r="S94" s="52" t="str">
        <f t="shared" si="13"/>
        <v>ICI</v>
      </c>
      <c r="T94" s="52" t="str">
        <f t="shared" si="13"/>
        <v>ICI</v>
      </c>
      <c r="U94" s="52" t="str">
        <f t="shared" si="13"/>
        <v>ICI</v>
      </c>
      <c r="V94" s="52" t="str">
        <f t="shared" si="13"/>
        <v>ICI</v>
      </c>
      <c r="W94" s="52" t="str">
        <f t="shared" si="13"/>
        <v>ICI</v>
      </c>
      <c r="X94" s="52" t="str">
        <f t="shared" si="13"/>
        <v>ICI</v>
      </c>
    </row>
    <row r="95" spans="1:24" x14ac:dyDescent="0.25">
      <c r="A95" s="52" t="str">
        <f t="shared" ref="A95:X95" si="14">IF(A16=A60,"","ICI")</f>
        <v>ICI</v>
      </c>
      <c r="B95" s="52" t="str">
        <f t="shared" si="14"/>
        <v>ICI</v>
      </c>
      <c r="C95" s="52" t="str">
        <f t="shared" si="14"/>
        <v>ICI</v>
      </c>
      <c r="D95" s="52" t="str">
        <f t="shared" si="14"/>
        <v>ICI</v>
      </c>
      <c r="E95" s="52" t="str">
        <f t="shared" si="14"/>
        <v>ICI</v>
      </c>
      <c r="F95" s="52" t="str">
        <f t="shared" si="14"/>
        <v>ICI</v>
      </c>
      <c r="G95" s="52" t="str">
        <f t="shared" si="14"/>
        <v/>
      </c>
      <c r="H95" s="52" t="str">
        <f t="shared" si="14"/>
        <v/>
      </c>
      <c r="I95" s="52" t="str">
        <f t="shared" si="14"/>
        <v/>
      </c>
      <c r="J95" s="52" t="str">
        <f t="shared" si="14"/>
        <v>ICI</v>
      </c>
      <c r="K95" s="52" t="str">
        <f t="shared" si="14"/>
        <v>ICI</v>
      </c>
      <c r="L95" s="52" t="str">
        <f t="shared" si="14"/>
        <v>ICI</v>
      </c>
      <c r="M95" s="52" t="str">
        <f t="shared" si="14"/>
        <v>ICI</v>
      </c>
      <c r="N95" s="52" t="str">
        <f t="shared" si="14"/>
        <v>ICI</v>
      </c>
      <c r="O95" s="52" t="str">
        <f t="shared" si="14"/>
        <v>ICI</v>
      </c>
      <c r="P95" s="52" t="str">
        <f t="shared" si="14"/>
        <v>ICI</v>
      </c>
      <c r="Q95" s="52" t="str">
        <f t="shared" si="14"/>
        <v>ICI</v>
      </c>
      <c r="R95" s="52" t="str">
        <f t="shared" si="14"/>
        <v>ICI</v>
      </c>
      <c r="S95" s="52" t="str">
        <f t="shared" si="14"/>
        <v>ICI</v>
      </c>
      <c r="T95" s="52" t="str">
        <f t="shared" si="14"/>
        <v>ICI</v>
      </c>
      <c r="U95" s="52" t="str">
        <f t="shared" si="14"/>
        <v>ICI</v>
      </c>
      <c r="V95" s="52" t="str">
        <f t="shared" si="14"/>
        <v>ICI</v>
      </c>
      <c r="W95" s="52" t="str">
        <f t="shared" si="14"/>
        <v>ICI</v>
      </c>
      <c r="X95" s="52" t="str">
        <f t="shared" si="14"/>
        <v>ICI</v>
      </c>
    </row>
    <row r="96" spans="1:24" x14ac:dyDescent="0.25">
      <c r="A96" s="52" t="str">
        <f t="shared" ref="A96:X96" si="15">IF(A17=A61,"","ICI")</f>
        <v>ICI</v>
      </c>
      <c r="B96" s="52" t="str">
        <f t="shared" si="15"/>
        <v>ICI</v>
      </c>
      <c r="C96" s="52" t="str">
        <f t="shared" si="15"/>
        <v>ICI</v>
      </c>
      <c r="D96" s="52" t="str">
        <f t="shared" si="15"/>
        <v>ICI</v>
      </c>
      <c r="E96" s="52" t="str">
        <f t="shared" si="15"/>
        <v>ICI</v>
      </c>
      <c r="F96" s="52" t="str">
        <f t="shared" si="15"/>
        <v>ICI</v>
      </c>
      <c r="G96" s="52" t="str">
        <f t="shared" si="15"/>
        <v/>
      </c>
      <c r="H96" s="52" t="str">
        <f t="shared" si="15"/>
        <v/>
      </c>
      <c r="I96" s="52" t="str">
        <f t="shared" si="15"/>
        <v/>
      </c>
      <c r="J96" s="52" t="str">
        <f t="shared" si="15"/>
        <v>ICI</v>
      </c>
      <c r="K96" s="52" t="str">
        <f t="shared" si="15"/>
        <v>ICI</v>
      </c>
      <c r="L96" s="52" t="str">
        <f t="shared" si="15"/>
        <v>ICI</v>
      </c>
      <c r="M96" s="52" t="str">
        <f t="shared" si="15"/>
        <v>ICI</v>
      </c>
      <c r="N96" s="52" t="str">
        <f t="shared" si="15"/>
        <v>ICI</v>
      </c>
      <c r="O96" s="52" t="str">
        <f t="shared" si="15"/>
        <v>ICI</v>
      </c>
      <c r="P96" s="52" t="str">
        <f t="shared" si="15"/>
        <v>ICI</v>
      </c>
      <c r="Q96" s="52" t="str">
        <f t="shared" si="15"/>
        <v>ICI</v>
      </c>
      <c r="R96" s="52" t="str">
        <f t="shared" si="15"/>
        <v>ICI</v>
      </c>
      <c r="S96" s="52" t="str">
        <f t="shared" si="15"/>
        <v>ICI</v>
      </c>
      <c r="T96" s="52" t="str">
        <f t="shared" si="15"/>
        <v>ICI</v>
      </c>
      <c r="U96" s="52" t="str">
        <f t="shared" si="15"/>
        <v>ICI</v>
      </c>
      <c r="V96" s="52" t="str">
        <f t="shared" si="15"/>
        <v>ICI</v>
      </c>
      <c r="W96" s="52" t="str">
        <f t="shared" si="15"/>
        <v>ICI</v>
      </c>
      <c r="X96" s="52" t="str">
        <f t="shared" si="15"/>
        <v>ICI</v>
      </c>
    </row>
    <row r="97" spans="1:24" x14ac:dyDescent="0.25">
      <c r="A97" s="52" t="e">
        <f>IF(#REF!=A62,"","ICI")</f>
        <v>#REF!</v>
      </c>
      <c r="B97" s="52" t="e">
        <f>IF(#REF!=B62,"","ICI")</f>
        <v>#REF!</v>
      </c>
      <c r="C97" s="52" t="e">
        <f>IF(#REF!=C62,"","ICI")</f>
        <v>#REF!</v>
      </c>
      <c r="D97" s="52" t="e">
        <f>IF(#REF!=D62,"","ICI")</f>
        <v>#REF!</v>
      </c>
      <c r="E97" s="52" t="e">
        <f>IF(#REF!=E62,"","ICI")</f>
        <v>#REF!</v>
      </c>
      <c r="F97" s="52" t="e">
        <f>IF(#REF!=F62,"","ICI")</f>
        <v>#REF!</v>
      </c>
      <c r="G97" s="52" t="e">
        <f>IF(#REF!=G62,"","ICI")</f>
        <v>#REF!</v>
      </c>
      <c r="H97" s="52" t="e">
        <f>IF(#REF!=H62,"","ICI")</f>
        <v>#REF!</v>
      </c>
      <c r="I97" s="52" t="e">
        <f>IF(#REF!=I62,"","ICI")</f>
        <v>#REF!</v>
      </c>
      <c r="J97" s="52" t="e">
        <f>IF(#REF!=J62,"","ICI")</f>
        <v>#REF!</v>
      </c>
      <c r="K97" s="52" t="e">
        <f>IF(#REF!=K62,"","ICI")</f>
        <v>#REF!</v>
      </c>
      <c r="L97" s="52" t="e">
        <f>IF(#REF!=L62,"","ICI")</f>
        <v>#REF!</v>
      </c>
      <c r="M97" s="52" t="e">
        <f>IF(#REF!=M62,"","ICI")</f>
        <v>#REF!</v>
      </c>
      <c r="N97" s="52" t="e">
        <f>IF(#REF!=N62,"","ICI")</f>
        <v>#REF!</v>
      </c>
      <c r="O97" s="52" t="e">
        <f>IF(#REF!=O62,"","ICI")</f>
        <v>#REF!</v>
      </c>
      <c r="P97" s="52" t="e">
        <f>IF(#REF!=P62,"","ICI")</f>
        <v>#REF!</v>
      </c>
      <c r="Q97" s="52" t="e">
        <f>IF(#REF!=Q62,"","ICI")</f>
        <v>#REF!</v>
      </c>
      <c r="R97" s="52" t="e">
        <f>IF(#REF!=R62,"","ICI")</f>
        <v>#REF!</v>
      </c>
      <c r="S97" s="52" t="e">
        <f>IF(#REF!=S62,"","ICI")</f>
        <v>#REF!</v>
      </c>
      <c r="T97" s="52" t="e">
        <f>IF(#REF!=T62,"","ICI")</f>
        <v>#REF!</v>
      </c>
      <c r="U97" s="52" t="e">
        <f>IF(#REF!=U62,"","ICI")</f>
        <v>#REF!</v>
      </c>
      <c r="V97" s="52" t="e">
        <f>IF(#REF!=V62,"","ICI")</f>
        <v>#REF!</v>
      </c>
      <c r="W97" s="52" t="e">
        <f>IF(#REF!=W62,"","ICI")</f>
        <v>#REF!</v>
      </c>
      <c r="X97" s="52" t="e">
        <f>IF(#REF!=X62,"","ICI")</f>
        <v>#REF!</v>
      </c>
    </row>
    <row r="98" spans="1:24" x14ac:dyDescent="0.25">
      <c r="A98" s="52" t="str">
        <f t="shared" ref="A98:X98" si="16">IF(A18=A63,"","ICI")</f>
        <v>ICI</v>
      </c>
      <c r="B98" s="52" t="str">
        <f t="shared" si="16"/>
        <v>ICI</v>
      </c>
      <c r="C98" s="52" t="str">
        <f t="shared" si="16"/>
        <v>ICI</v>
      </c>
      <c r="D98" s="52" t="str">
        <f t="shared" si="16"/>
        <v>ICI</v>
      </c>
      <c r="E98" s="52" t="str">
        <f t="shared" si="16"/>
        <v>ICI</v>
      </c>
      <c r="F98" s="52" t="str">
        <f t="shared" si="16"/>
        <v>ICI</v>
      </c>
      <c r="G98" s="52" t="str">
        <f t="shared" si="16"/>
        <v/>
      </c>
      <c r="H98" s="52" t="str">
        <f t="shared" si="16"/>
        <v/>
      </c>
      <c r="I98" s="52" t="str">
        <f t="shared" si="16"/>
        <v/>
      </c>
      <c r="J98" s="52" t="str">
        <f t="shared" si="16"/>
        <v>ICI</v>
      </c>
      <c r="K98" s="52" t="str">
        <f t="shared" si="16"/>
        <v>ICI</v>
      </c>
      <c r="L98" s="52" t="str">
        <f t="shared" si="16"/>
        <v>ICI</v>
      </c>
      <c r="M98" s="52" t="str">
        <f t="shared" si="16"/>
        <v>ICI</v>
      </c>
      <c r="N98" s="52" t="str">
        <f t="shared" si="16"/>
        <v>ICI</v>
      </c>
      <c r="O98" s="52" t="str">
        <f t="shared" si="16"/>
        <v>ICI</v>
      </c>
      <c r="P98" s="52" t="str">
        <f t="shared" si="16"/>
        <v>ICI</v>
      </c>
      <c r="Q98" s="52" t="str">
        <f t="shared" si="16"/>
        <v>ICI</v>
      </c>
      <c r="R98" s="52" t="str">
        <f t="shared" si="16"/>
        <v>ICI</v>
      </c>
      <c r="S98" s="52" t="str">
        <f t="shared" si="16"/>
        <v>ICI</v>
      </c>
      <c r="T98" s="52" t="str">
        <f t="shared" si="16"/>
        <v>ICI</v>
      </c>
      <c r="U98" s="52" t="str">
        <f t="shared" si="16"/>
        <v>ICI</v>
      </c>
      <c r="V98" s="52" t="str">
        <f t="shared" si="16"/>
        <v>ICI</v>
      </c>
      <c r="W98" s="52" t="str">
        <f t="shared" si="16"/>
        <v>ICI</v>
      </c>
      <c r="X98" s="52" t="str">
        <f t="shared" si="16"/>
        <v>ICI</v>
      </c>
    </row>
    <row r="99" spans="1:24" x14ac:dyDescent="0.25">
      <c r="A99" s="52" t="str">
        <f t="shared" ref="A99:X99" si="17">IF(A19=A64,"","ICI")</f>
        <v>ICI</v>
      </c>
      <c r="B99" s="52" t="str">
        <f t="shared" si="17"/>
        <v>ICI</v>
      </c>
      <c r="C99" s="52" t="str">
        <f t="shared" si="17"/>
        <v>ICI</v>
      </c>
      <c r="D99" s="52" t="str">
        <f t="shared" si="17"/>
        <v>ICI</v>
      </c>
      <c r="E99" s="52" t="str">
        <f t="shared" si="17"/>
        <v>ICI</v>
      </c>
      <c r="F99" s="52" t="str">
        <f t="shared" si="17"/>
        <v>ICI</v>
      </c>
      <c r="G99" s="52" t="str">
        <f t="shared" si="17"/>
        <v/>
      </c>
      <c r="H99" s="52" t="str">
        <f t="shared" si="17"/>
        <v/>
      </c>
      <c r="I99" s="52" t="str">
        <f t="shared" si="17"/>
        <v/>
      </c>
      <c r="J99" s="52" t="str">
        <f t="shared" si="17"/>
        <v>ICI</v>
      </c>
      <c r="K99" s="52" t="str">
        <f t="shared" si="17"/>
        <v>ICI</v>
      </c>
      <c r="L99" s="52" t="str">
        <f t="shared" si="17"/>
        <v>ICI</v>
      </c>
      <c r="M99" s="52" t="str">
        <f t="shared" si="17"/>
        <v>ICI</v>
      </c>
      <c r="N99" s="52" t="str">
        <f t="shared" si="17"/>
        <v>ICI</v>
      </c>
      <c r="O99" s="52" t="str">
        <f t="shared" si="17"/>
        <v>ICI</v>
      </c>
      <c r="P99" s="52" t="str">
        <f t="shared" si="17"/>
        <v>ICI</v>
      </c>
      <c r="Q99" s="52" t="str">
        <f t="shared" si="17"/>
        <v>ICI</v>
      </c>
      <c r="R99" s="52" t="str">
        <f t="shared" si="17"/>
        <v>ICI</v>
      </c>
      <c r="S99" s="52" t="str">
        <f t="shared" si="17"/>
        <v>ICI</v>
      </c>
      <c r="T99" s="52" t="str">
        <f t="shared" si="17"/>
        <v>ICI</v>
      </c>
      <c r="U99" s="52" t="str">
        <f t="shared" si="17"/>
        <v>ICI</v>
      </c>
      <c r="V99" s="52" t="str">
        <f t="shared" si="17"/>
        <v>ICI</v>
      </c>
      <c r="W99" s="52" t="str">
        <f t="shared" si="17"/>
        <v>ICI</v>
      </c>
      <c r="X99" s="52" t="str">
        <f t="shared" si="17"/>
        <v>ICI</v>
      </c>
    </row>
    <row r="100" spans="1:24" x14ac:dyDescent="0.25">
      <c r="A100" s="52" t="str">
        <f t="shared" ref="A100:X100" si="18">IF(A20=A65,"","ICI")</f>
        <v>ICI</v>
      </c>
      <c r="B100" s="52" t="str">
        <f t="shared" si="18"/>
        <v>ICI</v>
      </c>
      <c r="C100" s="52" t="str">
        <f t="shared" si="18"/>
        <v>ICI</v>
      </c>
      <c r="D100" s="52" t="str">
        <f t="shared" si="18"/>
        <v>ICI</v>
      </c>
      <c r="E100" s="52" t="str">
        <f t="shared" si="18"/>
        <v>ICI</v>
      </c>
      <c r="F100" s="52" t="str">
        <f t="shared" si="18"/>
        <v>ICI</v>
      </c>
      <c r="G100" s="52" t="str">
        <f t="shared" si="18"/>
        <v>ICI</v>
      </c>
      <c r="H100" s="52" t="str">
        <f t="shared" si="18"/>
        <v>ICI</v>
      </c>
      <c r="I100" s="52" t="str">
        <f t="shared" si="18"/>
        <v/>
      </c>
      <c r="J100" s="52" t="str">
        <f t="shared" si="18"/>
        <v>ICI</v>
      </c>
      <c r="K100" s="52" t="str">
        <f t="shared" si="18"/>
        <v>ICI</v>
      </c>
      <c r="L100" s="52" t="str">
        <f t="shared" si="18"/>
        <v>ICI</v>
      </c>
      <c r="M100" s="52" t="str">
        <f t="shared" si="18"/>
        <v>ICI</v>
      </c>
      <c r="N100" s="52" t="str">
        <f t="shared" si="18"/>
        <v>ICI</v>
      </c>
      <c r="O100" s="52" t="str">
        <f t="shared" si="18"/>
        <v>ICI</v>
      </c>
      <c r="P100" s="52" t="str">
        <f t="shared" si="18"/>
        <v>ICI</v>
      </c>
      <c r="Q100" s="52" t="str">
        <f t="shared" si="18"/>
        <v>ICI</v>
      </c>
      <c r="R100" s="52" t="str">
        <f t="shared" si="18"/>
        <v>ICI</v>
      </c>
      <c r="S100" s="52" t="str">
        <f t="shared" si="18"/>
        <v>ICI</v>
      </c>
      <c r="T100" s="52" t="str">
        <f t="shared" si="18"/>
        <v>ICI</v>
      </c>
      <c r="U100" s="52" t="str">
        <f t="shared" si="18"/>
        <v>ICI</v>
      </c>
      <c r="V100" s="52" t="str">
        <f t="shared" si="18"/>
        <v>ICI</v>
      </c>
      <c r="W100" s="52" t="str">
        <f t="shared" si="18"/>
        <v>ICI</v>
      </c>
      <c r="X100" s="52" t="str">
        <f t="shared" si="18"/>
        <v>ICI</v>
      </c>
    </row>
    <row r="101" spans="1:24" x14ac:dyDescent="0.25">
      <c r="A101" s="52" t="str">
        <f t="shared" ref="A101:X101" si="19">IF(A21=A66,"","ICI")</f>
        <v>ICI</v>
      </c>
      <c r="B101" s="52" t="str">
        <f t="shared" si="19"/>
        <v>ICI</v>
      </c>
      <c r="C101" s="52" t="str">
        <f t="shared" si="19"/>
        <v>ICI</v>
      </c>
      <c r="D101" s="52" t="str">
        <f t="shared" si="19"/>
        <v>ICI</v>
      </c>
      <c r="E101" s="52" t="str">
        <f t="shared" si="19"/>
        <v>ICI</v>
      </c>
      <c r="F101" s="52" t="str">
        <f t="shared" si="19"/>
        <v>ICI</v>
      </c>
      <c r="G101" s="52" t="str">
        <f t="shared" si="19"/>
        <v/>
      </c>
      <c r="H101" s="52" t="str">
        <f t="shared" si="19"/>
        <v/>
      </c>
      <c r="I101" s="52" t="str">
        <f t="shared" si="19"/>
        <v/>
      </c>
      <c r="J101" s="52" t="str">
        <f t="shared" si="19"/>
        <v>ICI</v>
      </c>
      <c r="K101" s="52" t="str">
        <f t="shared" si="19"/>
        <v>ICI</v>
      </c>
      <c r="L101" s="52" t="str">
        <f t="shared" si="19"/>
        <v>ICI</v>
      </c>
      <c r="M101" s="52" t="str">
        <f t="shared" si="19"/>
        <v>ICI</v>
      </c>
      <c r="N101" s="52" t="str">
        <f t="shared" si="19"/>
        <v>ICI</v>
      </c>
      <c r="O101" s="52" t="str">
        <f t="shared" si="19"/>
        <v>ICI</v>
      </c>
      <c r="P101" s="52" t="str">
        <f t="shared" si="19"/>
        <v>ICI</v>
      </c>
      <c r="Q101" s="52" t="str">
        <f t="shared" si="19"/>
        <v>ICI</v>
      </c>
      <c r="R101" s="52" t="str">
        <f t="shared" si="19"/>
        <v>ICI</v>
      </c>
      <c r="S101" s="52" t="str">
        <f t="shared" si="19"/>
        <v>ICI</v>
      </c>
      <c r="T101" s="52" t="str">
        <f t="shared" si="19"/>
        <v>ICI</v>
      </c>
      <c r="U101" s="52" t="str">
        <f t="shared" si="19"/>
        <v>ICI</v>
      </c>
      <c r="V101" s="52" t="str">
        <f t="shared" si="19"/>
        <v>ICI</v>
      </c>
      <c r="W101" s="52" t="str">
        <f t="shared" si="19"/>
        <v>ICI</v>
      </c>
      <c r="X101" s="52" t="str">
        <f t="shared" si="19"/>
        <v>ICI</v>
      </c>
    </row>
    <row r="102" spans="1:24" x14ac:dyDescent="0.25">
      <c r="A102" s="52" t="str">
        <f t="shared" ref="A102:X102" si="20">IF(A22=A67,"","ICI")</f>
        <v>ICI</v>
      </c>
      <c r="B102" s="52" t="str">
        <f t="shared" si="20"/>
        <v>ICI</v>
      </c>
      <c r="C102" s="52" t="str">
        <f t="shared" si="20"/>
        <v>ICI</v>
      </c>
      <c r="D102" s="52" t="str">
        <f t="shared" si="20"/>
        <v>ICI</v>
      </c>
      <c r="E102" s="52" t="str">
        <f t="shared" si="20"/>
        <v>ICI</v>
      </c>
      <c r="F102" s="52" t="str">
        <f t="shared" si="20"/>
        <v>ICI</v>
      </c>
      <c r="G102" s="52" t="str">
        <f t="shared" si="20"/>
        <v>ICI</v>
      </c>
      <c r="H102" s="52" t="str">
        <f t="shared" si="20"/>
        <v>ICI</v>
      </c>
      <c r="I102" s="52" t="str">
        <f t="shared" si="20"/>
        <v>ICI</v>
      </c>
      <c r="J102" s="52" t="str">
        <f t="shared" si="20"/>
        <v>ICI</v>
      </c>
      <c r="K102" s="52" t="str">
        <f t="shared" si="20"/>
        <v>ICI</v>
      </c>
      <c r="L102" s="52" t="str">
        <f t="shared" si="20"/>
        <v>ICI</v>
      </c>
      <c r="M102" s="52" t="str">
        <f t="shared" si="20"/>
        <v>ICI</v>
      </c>
      <c r="N102" s="52" t="str">
        <f t="shared" si="20"/>
        <v>ICI</v>
      </c>
      <c r="O102" s="52" t="str">
        <f t="shared" si="20"/>
        <v>ICI</v>
      </c>
      <c r="P102" s="52" t="str">
        <f t="shared" si="20"/>
        <v>ICI</v>
      </c>
      <c r="Q102" s="52" t="str">
        <f t="shared" si="20"/>
        <v>ICI</v>
      </c>
      <c r="R102" s="52" t="str">
        <f t="shared" si="20"/>
        <v>ICI</v>
      </c>
      <c r="S102" s="52" t="str">
        <f t="shared" si="20"/>
        <v>ICI</v>
      </c>
      <c r="T102" s="52" t="str">
        <f t="shared" si="20"/>
        <v>ICI</v>
      </c>
      <c r="U102" s="52" t="str">
        <f t="shared" si="20"/>
        <v>ICI</v>
      </c>
      <c r="V102" s="52" t="str">
        <f t="shared" si="20"/>
        <v>ICI</v>
      </c>
      <c r="W102" s="52" t="str">
        <f t="shared" si="20"/>
        <v>ICI</v>
      </c>
      <c r="X102" s="52" t="str">
        <f t="shared" si="20"/>
        <v>ICI</v>
      </c>
    </row>
    <row r="103" spans="1:24" x14ac:dyDescent="0.25">
      <c r="A103" s="52" t="str">
        <f t="shared" ref="A103:X103" si="21">IF(A23=A68,"","ICI")</f>
        <v>ICI</v>
      </c>
      <c r="B103" s="52" t="str">
        <f t="shared" si="21"/>
        <v>ICI</v>
      </c>
      <c r="C103" s="52" t="str">
        <f t="shared" si="21"/>
        <v>ICI</v>
      </c>
      <c r="D103" s="52" t="str">
        <f t="shared" si="21"/>
        <v>ICI</v>
      </c>
      <c r="E103" s="52" t="str">
        <f t="shared" si="21"/>
        <v>ICI</v>
      </c>
      <c r="F103" s="52" t="str">
        <f t="shared" si="21"/>
        <v>ICI</v>
      </c>
      <c r="G103" s="52" t="str">
        <f t="shared" si="21"/>
        <v/>
      </c>
      <c r="H103" s="52" t="str">
        <f t="shared" si="21"/>
        <v/>
      </c>
      <c r="I103" s="52" t="str">
        <f t="shared" si="21"/>
        <v/>
      </c>
      <c r="J103" s="52" t="str">
        <f t="shared" si="21"/>
        <v>ICI</v>
      </c>
      <c r="K103" s="52" t="str">
        <f t="shared" si="21"/>
        <v>ICI</v>
      </c>
      <c r="L103" s="52" t="str">
        <f t="shared" si="21"/>
        <v>ICI</v>
      </c>
      <c r="M103" s="52" t="str">
        <f t="shared" si="21"/>
        <v>ICI</v>
      </c>
      <c r="N103" s="52" t="str">
        <f t="shared" si="21"/>
        <v>ICI</v>
      </c>
      <c r="O103" s="52" t="str">
        <f t="shared" si="21"/>
        <v>ICI</v>
      </c>
      <c r="P103" s="52" t="str">
        <f t="shared" si="21"/>
        <v>ICI</v>
      </c>
      <c r="Q103" s="52" t="str">
        <f t="shared" si="21"/>
        <v>ICI</v>
      </c>
      <c r="R103" s="52" t="str">
        <f t="shared" si="21"/>
        <v>ICI</v>
      </c>
      <c r="S103" s="52" t="str">
        <f t="shared" si="21"/>
        <v>ICI</v>
      </c>
      <c r="T103" s="52" t="str">
        <f t="shared" si="21"/>
        <v>ICI</v>
      </c>
      <c r="U103" s="52" t="str">
        <f t="shared" si="21"/>
        <v>ICI</v>
      </c>
      <c r="V103" s="52" t="str">
        <f t="shared" si="21"/>
        <v>ICI</v>
      </c>
      <c r="W103" s="52" t="str">
        <f t="shared" si="21"/>
        <v>ICI</v>
      </c>
      <c r="X103" s="52" t="str">
        <f t="shared" si="21"/>
        <v>ICI</v>
      </c>
    </row>
    <row r="104" spans="1:24" x14ac:dyDescent="0.25">
      <c r="A104" s="52" t="str">
        <f t="shared" ref="A104:X104" si="22">IF(A24=A69,"","ICI")</f>
        <v>ICI</v>
      </c>
      <c r="B104" s="52" t="str">
        <f t="shared" si="22"/>
        <v>ICI</v>
      </c>
      <c r="C104" s="52" t="str">
        <f t="shared" si="22"/>
        <v>ICI</v>
      </c>
      <c r="D104" s="52" t="str">
        <f t="shared" si="22"/>
        <v>ICI</v>
      </c>
      <c r="E104" s="52" t="str">
        <f t="shared" si="22"/>
        <v>ICI</v>
      </c>
      <c r="F104" s="52" t="str">
        <f t="shared" si="22"/>
        <v>ICI</v>
      </c>
      <c r="G104" s="52" t="str">
        <f t="shared" si="22"/>
        <v/>
      </c>
      <c r="H104" s="52" t="str">
        <f t="shared" si="22"/>
        <v/>
      </c>
      <c r="I104" s="52" t="str">
        <f t="shared" si="22"/>
        <v/>
      </c>
      <c r="J104" s="52" t="str">
        <f t="shared" si="22"/>
        <v>ICI</v>
      </c>
      <c r="K104" s="52" t="str">
        <f t="shared" si="22"/>
        <v>ICI</v>
      </c>
      <c r="L104" s="52" t="str">
        <f t="shared" si="22"/>
        <v>ICI</v>
      </c>
      <c r="M104" s="52" t="str">
        <f t="shared" si="22"/>
        <v>ICI</v>
      </c>
      <c r="N104" s="52" t="str">
        <f t="shared" si="22"/>
        <v>ICI</v>
      </c>
      <c r="O104" s="52" t="str">
        <f t="shared" si="22"/>
        <v>ICI</v>
      </c>
      <c r="P104" s="52" t="str">
        <f t="shared" si="22"/>
        <v>ICI</v>
      </c>
      <c r="Q104" s="52" t="str">
        <f t="shared" si="22"/>
        <v>ICI</v>
      </c>
      <c r="R104" s="52" t="str">
        <f t="shared" si="22"/>
        <v>ICI</v>
      </c>
      <c r="S104" s="52" t="str">
        <f t="shared" si="22"/>
        <v>ICI</v>
      </c>
      <c r="T104" s="52" t="str">
        <f t="shared" si="22"/>
        <v>ICI</v>
      </c>
      <c r="U104" s="52" t="str">
        <f t="shared" si="22"/>
        <v>ICI</v>
      </c>
      <c r="V104" s="52" t="str">
        <f t="shared" si="22"/>
        <v>ICI</v>
      </c>
      <c r="W104" s="52" t="str">
        <f t="shared" si="22"/>
        <v>ICI</v>
      </c>
      <c r="X104" s="52" t="str">
        <f t="shared" si="22"/>
        <v>ICI</v>
      </c>
    </row>
    <row r="105" spans="1:24" x14ac:dyDescent="0.25">
      <c r="A105" s="52" t="str">
        <f t="shared" ref="A105:X105" si="23">IF(A25=A70,"","ICI")</f>
        <v>ICI</v>
      </c>
      <c r="B105" s="52" t="str">
        <f t="shared" si="23"/>
        <v>ICI</v>
      </c>
      <c r="C105" s="52" t="str">
        <f t="shared" si="23"/>
        <v>ICI</v>
      </c>
      <c r="D105" s="52" t="str">
        <f t="shared" si="23"/>
        <v>ICI</v>
      </c>
      <c r="E105" s="52" t="str">
        <f t="shared" si="23"/>
        <v>ICI</v>
      </c>
      <c r="F105" s="52" t="str">
        <f t="shared" si="23"/>
        <v>ICI</v>
      </c>
      <c r="G105" s="52" t="str">
        <f t="shared" si="23"/>
        <v/>
      </c>
      <c r="H105" s="52" t="str">
        <f t="shared" si="23"/>
        <v/>
      </c>
      <c r="I105" s="52" t="str">
        <f t="shared" si="23"/>
        <v/>
      </c>
      <c r="J105" s="52" t="str">
        <f t="shared" si="23"/>
        <v>ICI</v>
      </c>
      <c r="K105" s="52" t="str">
        <f t="shared" si="23"/>
        <v>ICI</v>
      </c>
      <c r="L105" s="52" t="str">
        <f t="shared" si="23"/>
        <v>ICI</v>
      </c>
      <c r="M105" s="52" t="str">
        <f t="shared" si="23"/>
        <v>ICI</v>
      </c>
      <c r="N105" s="52" t="str">
        <f t="shared" si="23"/>
        <v>ICI</v>
      </c>
      <c r="O105" s="52" t="str">
        <f t="shared" si="23"/>
        <v>ICI</v>
      </c>
      <c r="P105" s="52" t="str">
        <f t="shared" si="23"/>
        <v>ICI</v>
      </c>
      <c r="Q105" s="52" t="str">
        <f t="shared" si="23"/>
        <v>ICI</v>
      </c>
      <c r="R105" s="52" t="str">
        <f t="shared" si="23"/>
        <v>ICI</v>
      </c>
      <c r="S105" s="52" t="str">
        <f t="shared" si="23"/>
        <v>ICI</v>
      </c>
      <c r="T105" s="52" t="str">
        <f t="shared" si="23"/>
        <v>ICI</v>
      </c>
      <c r="U105" s="52" t="str">
        <f t="shared" si="23"/>
        <v>ICI</v>
      </c>
      <c r="V105" s="52" t="str">
        <f t="shared" si="23"/>
        <v>ICI</v>
      </c>
      <c r="W105" s="52" t="str">
        <f t="shared" si="23"/>
        <v>ICI</v>
      </c>
      <c r="X105" s="52" t="str">
        <f t="shared" si="23"/>
        <v>ICI</v>
      </c>
    </row>
    <row r="106" spans="1:24" x14ac:dyDescent="0.25">
      <c r="A106" s="52" t="str">
        <f t="shared" ref="A106:X106" si="24">IF(A26=A71,"","ICI")</f>
        <v>ICI</v>
      </c>
      <c r="B106" s="52" t="str">
        <f t="shared" si="24"/>
        <v>ICI</v>
      </c>
      <c r="C106" s="52" t="str">
        <f t="shared" si="24"/>
        <v>ICI</v>
      </c>
      <c r="D106" s="52" t="str">
        <f t="shared" si="24"/>
        <v>ICI</v>
      </c>
      <c r="E106" s="52" t="str">
        <f t="shared" si="24"/>
        <v>ICI</v>
      </c>
      <c r="F106" s="52" t="str">
        <f t="shared" si="24"/>
        <v>ICI</v>
      </c>
      <c r="G106" s="52" t="str">
        <f t="shared" si="24"/>
        <v/>
      </c>
      <c r="H106" s="52" t="str">
        <f t="shared" si="24"/>
        <v/>
      </c>
      <c r="I106" s="52" t="str">
        <f t="shared" si="24"/>
        <v/>
      </c>
      <c r="J106" s="52" t="str">
        <f t="shared" si="24"/>
        <v>ICI</v>
      </c>
      <c r="K106" s="52" t="str">
        <f t="shared" si="24"/>
        <v>ICI</v>
      </c>
      <c r="L106" s="52" t="str">
        <f t="shared" si="24"/>
        <v>ICI</v>
      </c>
      <c r="M106" s="52" t="str">
        <f t="shared" si="24"/>
        <v>ICI</v>
      </c>
      <c r="N106" s="52" t="str">
        <f t="shared" si="24"/>
        <v>ICI</v>
      </c>
      <c r="O106" s="52" t="str">
        <f t="shared" si="24"/>
        <v>ICI</v>
      </c>
      <c r="P106" s="52" t="str">
        <f t="shared" si="24"/>
        <v>ICI</v>
      </c>
      <c r="Q106" s="52" t="str">
        <f t="shared" si="24"/>
        <v>ICI</v>
      </c>
      <c r="R106" s="52" t="str">
        <f t="shared" si="24"/>
        <v>ICI</v>
      </c>
      <c r="S106" s="52" t="str">
        <f t="shared" si="24"/>
        <v>ICI</v>
      </c>
      <c r="T106" s="52" t="str">
        <f t="shared" si="24"/>
        <v>ICI</v>
      </c>
      <c r="U106" s="52" t="str">
        <f t="shared" si="24"/>
        <v>ICI</v>
      </c>
      <c r="V106" s="52" t="str">
        <f t="shared" si="24"/>
        <v>ICI</v>
      </c>
      <c r="W106" s="52" t="str">
        <f t="shared" si="24"/>
        <v>ICI</v>
      </c>
      <c r="X106" s="52" t="str">
        <f t="shared" si="24"/>
        <v>ICI</v>
      </c>
    </row>
    <row r="107" spans="1:24" x14ac:dyDescent="0.25">
      <c r="A107" s="52" t="str">
        <f t="shared" ref="A107:X107" si="25">IF(A27=A72,"","ICI")</f>
        <v>ICI</v>
      </c>
      <c r="B107" s="52" t="str">
        <f t="shared" si="25"/>
        <v>ICI</v>
      </c>
      <c r="C107" s="52" t="str">
        <f t="shared" si="25"/>
        <v>ICI</v>
      </c>
      <c r="D107" s="52" t="str">
        <f t="shared" si="25"/>
        <v>ICI</v>
      </c>
      <c r="E107" s="52" t="str">
        <f t="shared" si="25"/>
        <v>ICI</v>
      </c>
      <c r="F107" s="52" t="str">
        <f t="shared" si="25"/>
        <v>ICI</v>
      </c>
      <c r="G107" s="52" t="str">
        <f t="shared" si="25"/>
        <v/>
      </c>
      <c r="H107" s="52" t="str">
        <f t="shared" si="25"/>
        <v/>
      </c>
      <c r="I107" s="52" t="str">
        <f t="shared" si="25"/>
        <v/>
      </c>
      <c r="J107" s="52" t="str">
        <f t="shared" si="25"/>
        <v>ICI</v>
      </c>
      <c r="K107" s="52" t="str">
        <f t="shared" si="25"/>
        <v>ICI</v>
      </c>
      <c r="L107" s="52" t="str">
        <f t="shared" si="25"/>
        <v>ICI</v>
      </c>
      <c r="M107" s="52" t="str">
        <f t="shared" si="25"/>
        <v>ICI</v>
      </c>
      <c r="N107" s="52" t="str">
        <f t="shared" si="25"/>
        <v>ICI</v>
      </c>
      <c r="O107" s="52" t="str">
        <f t="shared" si="25"/>
        <v>ICI</v>
      </c>
      <c r="P107" s="52" t="str">
        <f t="shared" si="25"/>
        <v>ICI</v>
      </c>
      <c r="Q107" s="52" t="str">
        <f t="shared" si="25"/>
        <v>ICI</v>
      </c>
      <c r="R107" s="52" t="str">
        <f t="shared" si="25"/>
        <v>ICI</v>
      </c>
      <c r="S107" s="52" t="str">
        <f t="shared" si="25"/>
        <v>ICI</v>
      </c>
      <c r="T107" s="52" t="str">
        <f t="shared" si="25"/>
        <v>ICI</v>
      </c>
      <c r="U107" s="52" t="str">
        <f t="shared" si="25"/>
        <v>ICI</v>
      </c>
      <c r="V107" s="52" t="str">
        <f t="shared" si="25"/>
        <v>ICI</v>
      </c>
      <c r="W107" s="52" t="str">
        <f t="shared" si="25"/>
        <v>ICI</v>
      </c>
      <c r="X107" s="52" t="str">
        <f t="shared" si="25"/>
        <v>ICI</v>
      </c>
    </row>
    <row r="108" spans="1:24" x14ac:dyDescent="0.25">
      <c r="A108" s="52" t="str">
        <f t="shared" ref="A108:X108" si="26">IF(A28=A73,"","ICI")</f>
        <v>ICI</v>
      </c>
      <c r="B108" s="52" t="str">
        <f t="shared" si="26"/>
        <v>ICI</v>
      </c>
      <c r="C108" s="52" t="str">
        <f t="shared" si="26"/>
        <v>ICI</v>
      </c>
      <c r="D108" s="52" t="str">
        <f t="shared" si="26"/>
        <v>ICI</v>
      </c>
      <c r="E108" s="52" t="str">
        <f t="shared" si="26"/>
        <v>ICI</v>
      </c>
      <c r="F108" s="52" t="str">
        <f t="shared" si="26"/>
        <v>ICI</v>
      </c>
      <c r="G108" s="52" t="str">
        <f t="shared" si="26"/>
        <v/>
      </c>
      <c r="H108" s="52" t="str">
        <f t="shared" si="26"/>
        <v/>
      </c>
      <c r="I108" s="52" t="str">
        <f t="shared" si="26"/>
        <v/>
      </c>
      <c r="J108" s="52" t="str">
        <f t="shared" si="26"/>
        <v>ICI</v>
      </c>
      <c r="K108" s="52" t="str">
        <f t="shared" si="26"/>
        <v>ICI</v>
      </c>
      <c r="L108" s="52" t="str">
        <f t="shared" si="26"/>
        <v>ICI</v>
      </c>
      <c r="M108" s="52" t="str">
        <f t="shared" si="26"/>
        <v>ICI</v>
      </c>
      <c r="N108" s="52" t="str">
        <f t="shared" si="26"/>
        <v>ICI</v>
      </c>
      <c r="O108" s="52" t="str">
        <f t="shared" si="26"/>
        <v>ICI</v>
      </c>
      <c r="P108" s="52" t="str">
        <f t="shared" si="26"/>
        <v>ICI</v>
      </c>
      <c r="Q108" s="52" t="str">
        <f t="shared" si="26"/>
        <v>ICI</v>
      </c>
      <c r="R108" s="52" t="str">
        <f t="shared" si="26"/>
        <v>ICI</v>
      </c>
      <c r="S108" s="52" t="str">
        <f t="shared" si="26"/>
        <v>ICI</v>
      </c>
      <c r="T108" s="52" t="str">
        <f t="shared" si="26"/>
        <v>ICI</v>
      </c>
      <c r="U108" s="52" t="str">
        <f t="shared" si="26"/>
        <v>ICI</v>
      </c>
      <c r="V108" s="52" t="str">
        <f t="shared" si="26"/>
        <v>ICI</v>
      </c>
      <c r="W108" s="52" t="str">
        <f t="shared" si="26"/>
        <v>ICI</v>
      </c>
      <c r="X108" s="52" t="str">
        <f t="shared" si="26"/>
        <v>ICI</v>
      </c>
    </row>
    <row r="109" spans="1:24" x14ac:dyDescent="0.25">
      <c r="A109" s="52" t="str">
        <f t="shared" ref="A109:X109" si="27">IF(A29=A74,"","ICI")</f>
        <v>ICI</v>
      </c>
      <c r="B109" s="52" t="str">
        <f t="shared" si="27"/>
        <v>ICI</v>
      </c>
      <c r="C109" s="52" t="str">
        <f t="shared" si="27"/>
        <v>ICI</v>
      </c>
      <c r="D109" s="52" t="str">
        <f t="shared" si="27"/>
        <v>ICI</v>
      </c>
      <c r="E109" s="52" t="str">
        <f t="shared" si="27"/>
        <v>ICI</v>
      </c>
      <c r="F109" s="52" t="str">
        <f t="shared" si="27"/>
        <v>ICI</v>
      </c>
      <c r="G109" s="52" t="str">
        <f t="shared" si="27"/>
        <v/>
      </c>
      <c r="H109" s="52" t="str">
        <f t="shared" si="27"/>
        <v/>
      </c>
      <c r="I109" s="52" t="str">
        <f t="shared" si="27"/>
        <v/>
      </c>
      <c r="J109" s="52" t="str">
        <f t="shared" si="27"/>
        <v>ICI</v>
      </c>
      <c r="K109" s="52" t="str">
        <f t="shared" si="27"/>
        <v>ICI</v>
      </c>
      <c r="L109" s="52" t="str">
        <f t="shared" si="27"/>
        <v>ICI</v>
      </c>
      <c r="M109" s="52" t="str">
        <f t="shared" si="27"/>
        <v>ICI</v>
      </c>
      <c r="N109" s="52" t="str">
        <f t="shared" si="27"/>
        <v>ICI</v>
      </c>
      <c r="O109" s="52" t="str">
        <f t="shared" si="27"/>
        <v>ICI</v>
      </c>
      <c r="P109" s="52" t="str">
        <f t="shared" si="27"/>
        <v>ICI</v>
      </c>
      <c r="Q109" s="52" t="str">
        <f t="shared" si="27"/>
        <v>ICI</v>
      </c>
      <c r="R109" s="52" t="str">
        <f t="shared" si="27"/>
        <v>ICI</v>
      </c>
      <c r="S109" s="52" t="str">
        <f t="shared" si="27"/>
        <v>ICI</v>
      </c>
      <c r="T109" s="52" t="str">
        <f t="shared" si="27"/>
        <v>ICI</v>
      </c>
      <c r="U109" s="52" t="str">
        <f t="shared" si="27"/>
        <v>ICI</v>
      </c>
      <c r="V109" s="52" t="str">
        <f t="shared" si="27"/>
        <v>ICI</v>
      </c>
      <c r="W109" s="52" t="str">
        <f t="shared" si="27"/>
        <v>ICI</v>
      </c>
      <c r="X109" s="52" t="str">
        <f t="shared" si="27"/>
        <v>ICI</v>
      </c>
    </row>
    <row r="110" spans="1:24" x14ac:dyDescent="0.25">
      <c r="A110" s="52" t="str">
        <f t="shared" ref="A110:X110" si="28">IF(A30=A75,"","ICI")</f>
        <v>ICI</v>
      </c>
      <c r="B110" s="52" t="str">
        <f t="shared" si="28"/>
        <v>ICI</v>
      </c>
      <c r="C110" s="52" t="str">
        <f t="shared" si="28"/>
        <v>ICI</v>
      </c>
      <c r="D110" s="52" t="str">
        <f t="shared" si="28"/>
        <v>ICI</v>
      </c>
      <c r="E110" s="52" t="str">
        <f t="shared" si="28"/>
        <v>ICI</v>
      </c>
      <c r="F110" s="52" t="str">
        <f t="shared" si="28"/>
        <v>ICI</v>
      </c>
      <c r="G110" s="52" t="str">
        <f t="shared" si="28"/>
        <v/>
      </c>
      <c r="H110" s="52" t="str">
        <f t="shared" si="28"/>
        <v/>
      </c>
      <c r="I110" s="52" t="str">
        <f t="shared" si="28"/>
        <v/>
      </c>
      <c r="J110" s="52" t="str">
        <f t="shared" si="28"/>
        <v>ICI</v>
      </c>
      <c r="K110" s="52" t="str">
        <f t="shared" si="28"/>
        <v>ICI</v>
      </c>
      <c r="L110" s="52" t="str">
        <f t="shared" si="28"/>
        <v>ICI</v>
      </c>
      <c r="M110" s="52" t="str">
        <f t="shared" si="28"/>
        <v>ICI</v>
      </c>
      <c r="N110" s="52" t="str">
        <f t="shared" si="28"/>
        <v>ICI</v>
      </c>
      <c r="O110" s="52" t="str">
        <f t="shared" si="28"/>
        <v>ICI</v>
      </c>
      <c r="P110" s="52" t="str">
        <f t="shared" si="28"/>
        <v>ICI</v>
      </c>
      <c r="Q110" s="52" t="str">
        <f t="shared" si="28"/>
        <v>ICI</v>
      </c>
      <c r="R110" s="52" t="str">
        <f t="shared" si="28"/>
        <v>ICI</v>
      </c>
      <c r="S110" s="52" t="str">
        <f t="shared" si="28"/>
        <v>ICI</v>
      </c>
      <c r="T110" s="52" t="str">
        <f t="shared" si="28"/>
        <v>ICI</v>
      </c>
      <c r="U110" s="52" t="str">
        <f t="shared" si="28"/>
        <v>ICI</v>
      </c>
      <c r="V110" s="52" t="str">
        <f t="shared" si="28"/>
        <v>ICI</v>
      </c>
      <c r="W110" s="52" t="str">
        <f t="shared" si="28"/>
        <v>ICI</v>
      </c>
      <c r="X110" s="52" t="str">
        <f t="shared" si="28"/>
        <v>ICI</v>
      </c>
    </row>
    <row r="111" spans="1:24" x14ac:dyDescent="0.25">
      <c r="A111" s="52" t="str">
        <f t="shared" ref="A111:X111" si="29">IF(A33=A76,"","ICI")</f>
        <v/>
      </c>
      <c r="B111" s="52" t="str">
        <f t="shared" si="29"/>
        <v/>
      </c>
      <c r="C111" s="52" t="str">
        <f t="shared" si="29"/>
        <v/>
      </c>
      <c r="D111" s="52" t="str">
        <f t="shared" si="29"/>
        <v/>
      </c>
      <c r="E111" s="52" t="str">
        <f t="shared" si="29"/>
        <v/>
      </c>
      <c r="F111" s="52" t="str">
        <f t="shared" si="29"/>
        <v/>
      </c>
      <c r="G111" s="52" t="str">
        <f t="shared" si="29"/>
        <v/>
      </c>
      <c r="H111" s="52" t="str">
        <f t="shared" si="29"/>
        <v/>
      </c>
      <c r="I111" s="52" t="str">
        <f t="shared" si="29"/>
        <v/>
      </c>
      <c r="J111" s="52" t="str">
        <f t="shared" si="29"/>
        <v/>
      </c>
      <c r="K111" s="52" t="str">
        <f t="shared" si="29"/>
        <v/>
      </c>
      <c r="L111" s="52" t="str">
        <f t="shared" si="29"/>
        <v/>
      </c>
      <c r="M111" s="52" t="str">
        <f t="shared" si="29"/>
        <v/>
      </c>
      <c r="N111" s="52" t="str">
        <f t="shared" si="29"/>
        <v/>
      </c>
      <c r="O111" s="52" t="str">
        <f t="shared" si="29"/>
        <v/>
      </c>
      <c r="P111" s="52" t="str">
        <f t="shared" si="29"/>
        <v/>
      </c>
      <c r="Q111" s="52" t="str">
        <f t="shared" si="29"/>
        <v/>
      </c>
      <c r="R111" s="52" t="str">
        <f t="shared" si="29"/>
        <v/>
      </c>
      <c r="S111" s="52" t="str">
        <f t="shared" si="29"/>
        <v/>
      </c>
      <c r="T111" s="52" t="str">
        <f t="shared" si="29"/>
        <v/>
      </c>
      <c r="U111" s="52" t="str">
        <f t="shared" si="29"/>
        <v/>
      </c>
      <c r="V111" s="52" t="str">
        <f t="shared" si="29"/>
        <v/>
      </c>
      <c r="W111" s="52" t="str">
        <f t="shared" si="29"/>
        <v/>
      </c>
      <c r="X111" s="52" t="str">
        <f t="shared" si="29"/>
        <v/>
      </c>
    </row>
    <row r="112" spans="1:24" x14ac:dyDescent="0.25">
      <c r="A112" s="52" t="str">
        <f t="shared" ref="A112:X121" si="30">IF(A35=A77,"","ICI")</f>
        <v/>
      </c>
      <c r="B112" s="52" t="str">
        <f t="shared" si="30"/>
        <v/>
      </c>
      <c r="C112" s="52" t="str">
        <f t="shared" si="30"/>
        <v/>
      </c>
      <c r="D112" s="52" t="str">
        <f t="shared" si="30"/>
        <v/>
      </c>
      <c r="E112" s="52" t="str">
        <f t="shared" si="30"/>
        <v/>
      </c>
      <c r="F112" s="52" t="str">
        <f t="shared" si="30"/>
        <v/>
      </c>
      <c r="G112" s="52" t="str">
        <f t="shared" si="30"/>
        <v/>
      </c>
      <c r="H112" s="52" t="str">
        <f t="shared" si="30"/>
        <v/>
      </c>
      <c r="I112" s="52" t="str">
        <f t="shared" si="30"/>
        <v/>
      </c>
      <c r="J112" s="52" t="str">
        <f t="shared" si="30"/>
        <v/>
      </c>
      <c r="K112" s="52" t="str">
        <f t="shared" si="30"/>
        <v/>
      </c>
      <c r="L112" s="52" t="str">
        <f t="shared" si="30"/>
        <v/>
      </c>
      <c r="M112" s="52" t="str">
        <f t="shared" si="30"/>
        <v/>
      </c>
      <c r="N112" s="52" t="str">
        <f t="shared" si="30"/>
        <v/>
      </c>
      <c r="O112" s="52" t="str">
        <f t="shared" si="30"/>
        <v/>
      </c>
      <c r="P112" s="52" t="str">
        <f t="shared" si="30"/>
        <v/>
      </c>
      <c r="Q112" s="52" t="str">
        <f t="shared" si="30"/>
        <v/>
      </c>
      <c r="R112" s="52" t="str">
        <f t="shared" si="30"/>
        <v/>
      </c>
      <c r="S112" s="52" t="str">
        <f t="shared" si="30"/>
        <v/>
      </c>
      <c r="T112" s="52" t="str">
        <f t="shared" si="30"/>
        <v/>
      </c>
      <c r="U112" s="52" t="str">
        <f t="shared" si="30"/>
        <v/>
      </c>
      <c r="V112" s="52" t="str">
        <f t="shared" si="30"/>
        <v/>
      </c>
      <c r="W112" s="52" t="str">
        <f t="shared" si="30"/>
        <v/>
      </c>
      <c r="X112" s="52" t="str">
        <f t="shared" si="30"/>
        <v/>
      </c>
    </row>
    <row r="113" spans="1:24" x14ac:dyDescent="0.25">
      <c r="A113" s="52" t="str">
        <f t="shared" si="30"/>
        <v/>
      </c>
      <c r="B113" s="52" t="str">
        <f t="shared" si="30"/>
        <v/>
      </c>
      <c r="C113" s="52" t="str">
        <f t="shared" si="30"/>
        <v/>
      </c>
      <c r="D113" s="52" t="str">
        <f t="shared" si="30"/>
        <v/>
      </c>
      <c r="E113" s="52" t="str">
        <f t="shared" si="30"/>
        <v/>
      </c>
      <c r="F113" s="52" t="str">
        <f t="shared" si="30"/>
        <v/>
      </c>
      <c r="G113" s="52" t="str">
        <f t="shared" si="30"/>
        <v/>
      </c>
      <c r="H113" s="52" t="str">
        <f t="shared" si="30"/>
        <v/>
      </c>
      <c r="I113" s="52" t="str">
        <f t="shared" si="30"/>
        <v/>
      </c>
      <c r="J113" s="52" t="str">
        <f t="shared" si="30"/>
        <v/>
      </c>
      <c r="K113" s="52" t="str">
        <f t="shared" si="30"/>
        <v/>
      </c>
      <c r="L113" s="52" t="str">
        <f t="shared" si="30"/>
        <v/>
      </c>
      <c r="M113" s="52" t="str">
        <f t="shared" si="30"/>
        <v/>
      </c>
      <c r="N113" s="52" t="str">
        <f t="shared" si="30"/>
        <v/>
      </c>
      <c r="O113" s="52" t="str">
        <f t="shared" si="30"/>
        <v/>
      </c>
      <c r="P113" s="52" t="str">
        <f t="shared" si="30"/>
        <v/>
      </c>
      <c r="Q113" s="52" t="str">
        <f t="shared" si="30"/>
        <v/>
      </c>
      <c r="R113" s="52" t="str">
        <f t="shared" si="30"/>
        <v/>
      </c>
      <c r="S113" s="52" t="str">
        <f t="shared" si="30"/>
        <v/>
      </c>
      <c r="T113" s="52" t="str">
        <f t="shared" si="30"/>
        <v/>
      </c>
      <c r="U113" s="52" t="str">
        <f t="shared" si="30"/>
        <v/>
      </c>
      <c r="V113" s="52" t="str">
        <f t="shared" si="30"/>
        <v/>
      </c>
      <c r="W113" s="52" t="str">
        <f t="shared" si="30"/>
        <v/>
      </c>
      <c r="X113" s="52" t="str">
        <f t="shared" si="30"/>
        <v/>
      </c>
    </row>
    <row r="114" spans="1:24" x14ac:dyDescent="0.25">
      <c r="A114" s="52" t="str">
        <f t="shared" si="30"/>
        <v/>
      </c>
      <c r="B114" s="52" t="str">
        <f t="shared" si="30"/>
        <v/>
      </c>
      <c r="C114" s="52" t="str">
        <f t="shared" si="30"/>
        <v/>
      </c>
      <c r="D114" s="52" t="str">
        <f t="shared" si="30"/>
        <v/>
      </c>
      <c r="E114" s="52" t="str">
        <f t="shared" si="30"/>
        <v/>
      </c>
      <c r="F114" s="52" t="str">
        <f t="shared" si="30"/>
        <v/>
      </c>
      <c r="G114" s="52" t="str">
        <f t="shared" si="30"/>
        <v/>
      </c>
      <c r="H114" s="52" t="str">
        <f t="shared" si="30"/>
        <v/>
      </c>
      <c r="I114" s="52" t="str">
        <f t="shared" si="30"/>
        <v/>
      </c>
      <c r="J114" s="52" t="str">
        <f t="shared" si="30"/>
        <v/>
      </c>
      <c r="K114" s="52" t="str">
        <f t="shared" si="30"/>
        <v/>
      </c>
      <c r="L114" s="52" t="str">
        <f t="shared" si="30"/>
        <v/>
      </c>
      <c r="M114" s="52" t="str">
        <f t="shared" si="30"/>
        <v/>
      </c>
      <c r="N114" s="52" t="str">
        <f t="shared" si="30"/>
        <v/>
      </c>
      <c r="O114" s="52" t="str">
        <f t="shared" si="30"/>
        <v/>
      </c>
      <c r="P114" s="52" t="str">
        <f t="shared" si="30"/>
        <v/>
      </c>
      <c r="Q114" s="52" t="str">
        <f t="shared" si="30"/>
        <v/>
      </c>
      <c r="R114" s="52" t="str">
        <f t="shared" si="30"/>
        <v/>
      </c>
      <c r="S114" s="52" t="str">
        <f t="shared" si="30"/>
        <v/>
      </c>
      <c r="T114" s="52" t="str">
        <f t="shared" si="30"/>
        <v/>
      </c>
      <c r="U114" s="52" t="str">
        <f t="shared" si="30"/>
        <v/>
      </c>
      <c r="V114" s="52" t="str">
        <f t="shared" si="30"/>
        <v/>
      </c>
      <c r="W114" s="52" t="str">
        <f t="shared" si="30"/>
        <v/>
      </c>
      <c r="X114" s="52" t="str">
        <f t="shared" si="30"/>
        <v/>
      </c>
    </row>
    <row r="115" spans="1:24" x14ac:dyDescent="0.25">
      <c r="A115" s="52" t="str">
        <f t="shared" si="30"/>
        <v>ICI</v>
      </c>
      <c r="B115" s="52" t="str">
        <f t="shared" si="30"/>
        <v>ICI</v>
      </c>
      <c r="C115" s="52" t="str">
        <f t="shared" si="30"/>
        <v>ICI</v>
      </c>
      <c r="D115" s="52" t="str">
        <f t="shared" si="30"/>
        <v>ICI</v>
      </c>
      <c r="E115" s="52" t="str">
        <f t="shared" si="30"/>
        <v>ICI</v>
      </c>
      <c r="F115" s="52" t="str">
        <f t="shared" si="30"/>
        <v>ICI</v>
      </c>
      <c r="G115" s="52" t="str">
        <f t="shared" si="30"/>
        <v/>
      </c>
      <c r="H115" s="52" t="str">
        <f t="shared" si="30"/>
        <v/>
      </c>
      <c r="I115" s="52" t="str">
        <f t="shared" si="30"/>
        <v/>
      </c>
      <c r="J115" s="52" t="str">
        <f t="shared" si="30"/>
        <v>ICI</v>
      </c>
      <c r="K115" s="52" t="str">
        <f t="shared" si="30"/>
        <v>ICI</v>
      </c>
      <c r="L115" s="52" t="str">
        <f t="shared" si="30"/>
        <v>ICI</v>
      </c>
      <c r="M115" s="52" t="str">
        <f t="shared" si="30"/>
        <v>ICI</v>
      </c>
      <c r="N115" s="52" t="str">
        <f t="shared" si="30"/>
        <v>ICI</v>
      </c>
      <c r="O115" s="52" t="str">
        <f t="shared" si="30"/>
        <v>ICI</v>
      </c>
      <c r="P115" s="52" t="str">
        <f t="shared" si="30"/>
        <v>ICI</v>
      </c>
      <c r="Q115" s="52" t="str">
        <f t="shared" si="30"/>
        <v>ICI</v>
      </c>
      <c r="R115" s="52" t="str">
        <f t="shared" si="30"/>
        <v>ICI</v>
      </c>
      <c r="S115" s="52" t="str">
        <f t="shared" si="30"/>
        <v>ICI</v>
      </c>
      <c r="T115" s="52" t="str">
        <f t="shared" si="30"/>
        <v>ICI</v>
      </c>
      <c r="U115" s="52" t="str">
        <f t="shared" si="30"/>
        <v>ICI</v>
      </c>
      <c r="V115" s="52" t="str">
        <f t="shared" si="30"/>
        <v>ICI</v>
      </c>
      <c r="W115" s="52" t="str">
        <f t="shared" si="30"/>
        <v>ICI</v>
      </c>
      <c r="X115" s="52" t="str">
        <f t="shared" si="30"/>
        <v>ICI</v>
      </c>
    </row>
    <row r="116" spans="1:24" x14ac:dyDescent="0.25">
      <c r="A116" s="52" t="str">
        <f t="shared" si="30"/>
        <v>ICI</v>
      </c>
      <c r="B116" s="52" t="str">
        <f t="shared" si="30"/>
        <v>ICI</v>
      </c>
      <c r="C116" s="52" t="str">
        <f t="shared" si="30"/>
        <v>ICI</v>
      </c>
      <c r="D116" s="52" t="str">
        <f t="shared" si="30"/>
        <v>ICI</v>
      </c>
      <c r="E116" s="52" t="str">
        <f t="shared" si="30"/>
        <v>ICI</v>
      </c>
      <c r="F116" s="52" t="str">
        <f t="shared" si="30"/>
        <v>ICI</v>
      </c>
      <c r="G116" s="52" t="str">
        <f t="shared" si="30"/>
        <v/>
      </c>
      <c r="H116" s="52" t="str">
        <f t="shared" si="30"/>
        <v/>
      </c>
      <c r="I116" s="52" t="str">
        <f t="shared" si="30"/>
        <v/>
      </c>
      <c r="J116" s="52" t="str">
        <f t="shared" si="30"/>
        <v>ICI</v>
      </c>
      <c r="K116" s="52" t="str">
        <f t="shared" si="30"/>
        <v>ICI</v>
      </c>
      <c r="L116" s="52" t="str">
        <f t="shared" si="30"/>
        <v>ICI</v>
      </c>
      <c r="M116" s="52" t="str">
        <f t="shared" si="30"/>
        <v>ICI</v>
      </c>
      <c r="N116" s="52" t="str">
        <f t="shared" si="30"/>
        <v>ICI</v>
      </c>
      <c r="O116" s="52" t="str">
        <f t="shared" si="30"/>
        <v>ICI</v>
      </c>
      <c r="P116" s="52" t="str">
        <f t="shared" si="30"/>
        <v>ICI</v>
      </c>
      <c r="Q116" s="52" t="str">
        <f t="shared" si="30"/>
        <v>ICI</v>
      </c>
      <c r="R116" s="52" t="str">
        <f t="shared" si="30"/>
        <v>ICI</v>
      </c>
      <c r="S116" s="52" t="str">
        <f t="shared" si="30"/>
        <v>ICI</v>
      </c>
      <c r="T116" s="52" t="str">
        <f t="shared" si="30"/>
        <v>ICI</v>
      </c>
      <c r="U116" s="52" t="str">
        <f t="shared" si="30"/>
        <v>ICI</v>
      </c>
      <c r="V116" s="52" t="str">
        <f t="shared" si="30"/>
        <v>ICI</v>
      </c>
      <c r="W116" s="52" t="str">
        <f t="shared" si="30"/>
        <v>ICI</v>
      </c>
      <c r="X116" s="52" t="str">
        <f t="shared" si="30"/>
        <v>ICI</v>
      </c>
    </row>
    <row r="117" spans="1:24" x14ac:dyDescent="0.25">
      <c r="A117" s="52" t="str">
        <f t="shared" si="30"/>
        <v>ICI</v>
      </c>
      <c r="B117" s="52" t="str">
        <f t="shared" si="30"/>
        <v>ICI</v>
      </c>
      <c r="C117" s="52" t="str">
        <f t="shared" si="30"/>
        <v>ICI</v>
      </c>
      <c r="D117" s="52" t="str">
        <f t="shared" si="30"/>
        <v>ICI</v>
      </c>
      <c r="E117" s="52" t="str">
        <f t="shared" si="30"/>
        <v>ICI</v>
      </c>
      <c r="F117" s="52" t="str">
        <f t="shared" si="30"/>
        <v>ICI</v>
      </c>
      <c r="G117" s="52" t="str">
        <f t="shared" si="30"/>
        <v/>
      </c>
      <c r="H117" s="52" t="str">
        <f t="shared" si="30"/>
        <v/>
      </c>
      <c r="I117" s="52" t="str">
        <f t="shared" si="30"/>
        <v/>
      </c>
      <c r="J117" s="52" t="str">
        <f t="shared" si="30"/>
        <v>ICI</v>
      </c>
      <c r="K117" s="52" t="str">
        <f t="shared" si="30"/>
        <v>ICI</v>
      </c>
      <c r="L117" s="52" t="str">
        <f t="shared" si="30"/>
        <v>ICI</v>
      </c>
      <c r="M117" s="52" t="str">
        <f t="shared" si="30"/>
        <v>ICI</v>
      </c>
      <c r="N117" s="52" t="str">
        <f t="shared" si="30"/>
        <v>ICI</v>
      </c>
      <c r="O117" s="52" t="str">
        <f t="shared" si="30"/>
        <v>ICI</v>
      </c>
      <c r="P117" s="52" t="str">
        <f t="shared" si="30"/>
        <v>ICI</v>
      </c>
      <c r="Q117" s="52" t="str">
        <f t="shared" si="30"/>
        <v>ICI</v>
      </c>
      <c r="R117" s="52" t="str">
        <f t="shared" si="30"/>
        <v>ICI</v>
      </c>
      <c r="S117" s="52" t="str">
        <f t="shared" si="30"/>
        <v>ICI</v>
      </c>
      <c r="T117" s="52" t="str">
        <f t="shared" si="30"/>
        <v>ICI</v>
      </c>
      <c r="U117" s="52" t="str">
        <f t="shared" si="30"/>
        <v>ICI</v>
      </c>
      <c r="V117" s="52" t="str">
        <f t="shared" si="30"/>
        <v>ICI</v>
      </c>
      <c r="W117" s="52" t="str">
        <f t="shared" si="30"/>
        <v>ICI</v>
      </c>
      <c r="X117" s="52" t="str">
        <f t="shared" si="30"/>
        <v>ICI</v>
      </c>
    </row>
    <row r="118" spans="1:24" x14ac:dyDescent="0.25">
      <c r="A118" s="52" t="str">
        <f t="shared" si="30"/>
        <v>ICI</v>
      </c>
      <c r="B118" s="52" t="str">
        <f t="shared" si="30"/>
        <v>ICI</v>
      </c>
      <c r="C118" s="52" t="str">
        <f t="shared" si="30"/>
        <v>ICI</v>
      </c>
      <c r="D118" s="52" t="str">
        <f t="shared" si="30"/>
        <v>ICI</v>
      </c>
      <c r="E118" s="52" t="str">
        <f t="shared" si="30"/>
        <v>ICI</v>
      </c>
      <c r="F118" s="52" t="str">
        <f t="shared" si="30"/>
        <v>ICI</v>
      </c>
      <c r="G118" s="52" t="str">
        <f t="shared" si="30"/>
        <v/>
      </c>
      <c r="H118" s="52" t="str">
        <f t="shared" si="30"/>
        <v/>
      </c>
      <c r="I118" s="52" t="str">
        <f t="shared" si="30"/>
        <v/>
      </c>
      <c r="J118" s="52" t="str">
        <f t="shared" si="30"/>
        <v>ICI</v>
      </c>
      <c r="K118" s="52" t="str">
        <f t="shared" si="30"/>
        <v>ICI</v>
      </c>
      <c r="L118" s="52" t="str">
        <f t="shared" si="30"/>
        <v>ICI</v>
      </c>
      <c r="M118" s="52" t="str">
        <f t="shared" si="30"/>
        <v>ICI</v>
      </c>
      <c r="N118" s="52" t="str">
        <f t="shared" si="30"/>
        <v>ICI</v>
      </c>
      <c r="O118" s="52" t="str">
        <f t="shared" si="30"/>
        <v>ICI</v>
      </c>
      <c r="P118" s="52" t="str">
        <f t="shared" si="30"/>
        <v>ICI</v>
      </c>
      <c r="Q118" s="52" t="str">
        <f t="shared" si="30"/>
        <v>ICI</v>
      </c>
      <c r="R118" s="52" t="str">
        <f t="shared" si="30"/>
        <v>ICI</v>
      </c>
      <c r="S118" s="52" t="str">
        <f t="shared" si="30"/>
        <v>ICI</v>
      </c>
      <c r="T118" s="52" t="str">
        <f t="shared" si="30"/>
        <v>ICI</v>
      </c>
      <c r="U118" s="52" t="str">
        <f t="shared" si="30"/>
        <v>ICI</v>
      </c>
      <c r="V118" s="52" t="str">
        <f t="shared" si="30"/>
        <v>ICI</v>
      </c>
      <c r="W118" s="52" t="str">
        <f t="shared" si="30"/>
        <v>ICI</v>
      </c>
      <c r="X118" s="52" t="str">
        <f t="shared" si="30"/>
        <v>ICI</v>
      </c>
    </row>
    <row r="119" spans="1:24" x14ac:dyDescent="0.25">
      <c r="A119" s="52" t="str">
        <f t="shared" si="30"/>
        <v>ICI</v>
      </c>
      <c r="B119" s="52" t="str">
        <f t="shared" si="30"/>
        <v>ICI</v>
      </c>
      <c r="C119" s="52" t="str">
        <f t="shared" si="30"/>
        <v>ICI</v>
      </c>
      <c r="D119" s="52" t="str">
        <f t="shared" si="30"/>
        <v>ICI</v>
      </c>
      <c r="E119" s="52" t="str">
        <f t="shared" si="30"/>
        <v>ICI</v>
      </c>
      <c r="F119" s="52" t="str">
        <f t="shared" si="30"/>
        <v>ICI</v>
      </c>
      <c r="G119" s="52" t="str">
        <f t="shared" si="30"/>
        <v/>
      </c>
      <c r="H119" s="52" t="str">
        <f t="shared" si="30"/>
        <v/>
      </c>
      <c r="I119" s="52" t="str">
        <f t="shared" si="30"/>
        <v/>
      </c>
      <c r="J119" s="52" t="str">
        <f t="shared" si="30"/>
        <v>ICI</v>
      </c>
      <c r="K119" s="52" t="str">
        <f t="shared" si="30"/>
        <v>ICI</v>
      </c>
      <c r="L119" s="52" t="str">
        <f t="shared" si="30"/>
        <v>ICI</v>
      </c>
      <c r="M119" s="52" t="str">
        <f t="shared" si="30"/>
        <v>ICI</v>
      </c>
      <c r="N119" s="52" t="str">
        <f t="shared" si="30"/>
        <v>ICI</v>
      </c>
      <c r="O119" s="52" t="str">
        <f t="shared" si="30"/>
        <v>ICI</v>
      </c>
      <c r="P119" s="52" t="str">
        <f t="shared" si="30"/>
        <v>ICI</v>
      </c>
      <c r="Q119" s="52" t="str">
        <f t="shared" si="30"/>
        <v>ICI</v>
      </c>
      <c r="R119" s="52" t="str">
        <f t="shared" si="30"/>
        <v>ICI</v>
      </c>
      <c r="S119" s="52" t="str">
        <f t="shared" si="30"/>
        <v>ICI</v>
      </c>
      <c r="T119" s="52" t="str">
        <f t="shared" si="30"/>
        <v>ICI</v>
      </c>
      <c r="U119" s="52" t="str">
        <f t="shared" si="30"/>
        <v>ICI</v>
      </c>
      <c r="V119" s="52" t="str">
        <f t="shared" si="30"/>
        <v>ICI</v>
      </c>
      <c r="W119" s="52" t="str">
        <f t="shared" si="30"/>
        <v>ICI</v>
      </c>
      <c r="X119" s="52" t="str">
        <f t="shared" si="30"/>
        <v>ICI</v>
      </c>
    </row>
    <row r="120" spans="1:24" x14ac:dyDescent="0.25">
      <c r="A120" s="52" t="str">
        <f t="shared" si="30"/>
        <v>ICI</v>
      </c>
      <c r="B120" s="52" t="str">
        <f t="shared" si="30"/>
        <v>ICI</v>
      </c>
      <c r="C120" s="52" t="str">
        <f t="shared" si="30"/>
        <v>ICI</v>
      </c>
      <c r="D120" s="52" t="str">
        <f t="shared" si="30"/>
        <v>ICI</v>
      </c>
      <c r="E120" s="52" t="str">
        <f t="shared" si="30"/>
        <v>ICI</v>
      </c>
      <c r="F120" s="52" t="str">
        <f t="shared" si="30"/>
        <v>ICI</v>
      </c>
      <c r="G120" s="52" t="str">
        <f t="shared" si="30"/>
        <v>ICI</v>
      </c>
      <c r="H120" s="52" t="str">
        <f t="shared" si="30"/>
        <v/>
      </c>
      <c r="I120" s="52" t="str">
        <f t="shared" si="30"/>
        <v/>
      </c>
      <c r="J120" s="52" t="str">
        <f t="shared" si="30"/>
        <v>ICI</v>
      </c>
      <c r="K120" s="52" t="str">
        <f t="shared" si="30"/>
        <v>ICI</v>
      </c>
      <c r="L120" s="52" t="str">
        <f t="shared" si="30"/>
        <v>ICI</v>
      </c>
      <c r="M120" s="52" t="str">
        <f t="shared" si="30"/>
        <v>ICI</v>
      </c>
      <c r="N120" s="52" t="str">
        <f t="shared" si="30"/>
        <v>ICI</v>
      </c>
      <c r="O120" s="52" t="str">
        <f t="shared" si="30"/>
        <v>ICI</v>
      </c>
      <c r="P120" s="52" t="str">
        <f t="shared" si="30"/>
        <v>ICI</v>
      </c>
      <c r="Q120" s="52" t="str">
        <f t="shared" si="30"/>
        <v>ICI</v>
      </c>
      <c r="R120" s="52" t="str">
        <f t="shared" si="30"/>
        <v>ICI</v>
      </c>
      <c r="S120" s="52" t="str">
        <f t="shared" si="30"/>
        <v>ICI</v>
      </c>
      <c r="T120" s="52" t="str">
        <f t="shared" si="30"/>
        <v>ICI</v>
      </c>
      <c r="U120" s="52" t="str">
        <f t="shared" si="30"/>
        <v>ICI</v>
      </c>
      <c r="V120" s="52" t="str">
        <f t="shared" si="30"/>
        <v>ICI</v>
      </c>
      <c r="W120" s="52" t="str">
        <f t="shared" si="30"/>
        <v>ICI</v>
      </c>
      <c r="X120" s="52" t="str">
        <f t="shared" si="30"/>
        <v>ICI</v>
      </c>
    </row>
    <row r="121" spans="1:24" x14ac:dyDescent="0.25">
      <c r="A121" s="52" t="str">
        <f t="shared" si="30"/>
        <v>ICI</v>
      </c>
      <c r="B121" s="52" t="str">
        <f t="shared" si="30"/>
        <v>ICI</v>
      </c>
      <c r="C121" s="52" t="str">
        <f t="shared" si="30"/>
        <v>ICI</v>
      </c>
      <c r="D121" s="52" t="str">
        <f t="shared" si="30"/>
        <v>ICI</v>
      </c>
      <c r="E121" s="52" t="str">
        <f t="shared" si="30"/>
        <v>ICI</v>
      </c>
      <c r="F121" s="52" t="str">
        <f t="shared" si="30"/>
        <v>ICI</v>
      </c>
      <c r="G121" s="52" t="str">
        <f t="shared" si="30"/>
        <v>ICI</v>
      </c>
      <c r="H121" s="52" t="str">
        <f t="shared" si="30"/>
        <v/>
      </c>
      <c r="I121" s="52" t="str">
        <f t="shared" si="30"/>
        <v/>
      </c>
      <c r="J121" s="52" t="str">
        <f t="shared" si="30"/>
        <v>ICI</v>
      </c>
      <c r="K121" s="52" t="str">
        <f t="shared" si="30"/>
        <v>ICI</v>
      </c>
      <c r="L121" s="52" t="str">
        <f t="shared" si="30"/>
        <v>ICI</v>
      </c>
      <c r="M121" s="52" t="str">
        <f t="shared" si="30"/>
        <v>ICI</v>
      </c>
      <c r="N121" s="52" t="str">
        <f t="shared" si="30"/>
        <v/>
      </c>
      <c r="O121" s="52" t="str">
        <f t="shared" si="30"/>
        <v/>
      </c>
      <c r="P121" s="52" t="str">
        <f t="shared" si="30"/>
        <v/>
      </c>
      <c r="Q121" s="52" t="str">
        <f t="shared" si="30"/>
        <v/>
      </c>
      <c r="R121" s="52" t="str">
        <f t="shared" si="30"/>
        <v/>
      </c>
      <c r="S121" s="52" t="str">
        <f t="shared" si="30"/>
        <v/>
      </c>
      <c r="T121" s="52" t="str">
        <f t="shared" si="30"/>
        <v/>
      </c>
      <c r="U121" s="52" t="str">
        <f t="shared" si="30"/>
        <v/>
      </c>
      <c r="V121" s="52" t="str">
        <f t="shared" si="30"/>
        <v/>
      </c>
      <c r="W121" s="52" t="str">
        <f t="shared" si="30"/>
        <v>ICI</v>
      </c>
      <c r="X121" s="52" t="str">
        <f t="shared" si="30"/>
        <v>ICI</v>
      </c>
    </row>
  </sheetData>
  <mergeCells count="4">
    <mergeCell ref="A1:B1"/>
    <mergeCell ref="C1:F1"/>
    <mergeCell ref="G1:I1"/>
    <mergeCell ref="J1:X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482:F482"/>
  <sheetViews>
    <sheetView workbookViewId="0"/>
  </sheetViews>
  <sheetFormatPr baseColWidth="10" defaultRowHeight="15" x14ac:dyDescent="0.25"/>
  <sheetData>
    <row r="482" spans="2:6" x14ac:dyDescent="0.25">
      <c r="B482">
        <v>2</v>
      </c>
      <c r="C482">
        <v>3</v>
      </c>
      <c r="D482">
        <v>4</v>
      </c>
      <c r="E482">
        <v>5</v>
      </c>
      <c r="F482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32"/>
  <sheetViews>
    <sheetView workbookViewId="0">
      <selection activeCell="T8" sqref="T8"/>
    </sheetView>
  </sheetViews>
  <sheetFormatPr baseColWidth="10" defaultRowHeight="15" x14ac:dyDescent="0.25"/>
  <cols>
    <col min="1" max="16384" width="11.42578125" style="2"/>
  </cols>
  <sheetData>
    <row r="1" spans="1:5" ht="15.75" thickBot="1" x14ac:dyDescent="0.3">
      <c r="A1" s="15" t="s">
        <v>9</v>
      </c>
      <c r="B1" s="16" t="s">
        <v>10</v>
      </c>
    </row>
    <row r="2" spans="1:5" x14ac:dyDescent="0.25">
      <c r="A2" s="17" t="s">
        <v>21</v>
      </c>
      <c r="B2" s="18">
        <v>1</v>
      </c>
      <c r="D2" s="19"/>
      <c r="E2" s="9"/>
    </row>
    <row r="3" spans="1:5" x14ac:dyDescent="0.25">
      <c r="A3" s="19" t="s">
        <v>22</v>
      </c>
      <c r="B3" s="20">
        <v>2</v>
      </c>
      <c r="D3" s="19"/>
      <c r="E3" s="4"/>
    </row>
    <row r="4" spans="1:5" x14ac:dyDescent="0.25">
      <c r="A4" s="19" t="s">
        <v>79</v>
      </c>
      <c r="B4" s="20">
        <v>3</v>
      </c>
      <c r="D4" s="19"/>
      <c r="E4" s="4"/>
    </row>
    <row r="5" spans="1:5" x14ac:dyDescent="0.25">
      <c r="A5" s="23" t="s">
        <v>23</v>
      </c>
      <c r="B5" s="20">
        <v>4</v>
      </c>
      <c r="D5" s="19"/>
      <c r="E5" s="4"/>
    </row>
    <row r="6" spans="1:5" x14ac:dyDescent="0.25">
      <c r="A6" s="19" t="s">
        <v>24</v>
      </c>
      <c r="B6" s="20">
        <v>5</v>
      </c>
      <c r="D6" s="17"/>
      <c r="E6" s="4"/>
    </row>
    <row r="7" spans="1:5" x14ac:dyDescent="0.25">
      <c r="A7" s="19" t="s">
        <v>25</v>
      </c>
      <c r="B7" s="20">
        <v>6</v>
      </c>
      <c r="D7" s="19"/>
      <c r="E7" s="4"/>
    </row>
    <row r="8" spans="1:5" x14ac:dyDescent="0.25">
      <c r="A8" s="19" t="s">
        <v>26</v>
      </c>
      <c r="B8" s="20">
        <v>7</v>
      </c>
      <c r="D8" s="19"/>
      <c r="E8" s="4"/>
    </row>
    <row r="9" spans="1:5" x14ac:dyDescent="0.25">
      <c r="A9" s="19" t="s">
        <v>27</v>
      </c>
      <c r="B9" s="20">
        <v>8</v>
      </c>
      <c r="D9" s="19"/>
      <c r="E9" s="4"/>
    </row>
    <row r="10" spans="1:5" x14ac:dyDescent="0.25">
      <c r="A10" s="19" t="s">
        <v>28</v>
      </c>
      <c r="B10" s="20">
        <v>9</v>
      </c>
      <c r="D10" s="19"/>
      <c r="E10" s="4"/>
    </row>
    <row r="11" spans="1:5" x14ac:dyDescent="0.25">
      <c r="A11" s="19" t="s">
        <v>29</v>
      </c>
      <c r="B11" s="20">
        <v>10</v>
      </c>
      <c r="D11" s="19"/>
      <c r="E11" s="4"/>
    </row>
    <row r="12" spans="1:5" x14ac:dyDescent="0.25">
      <c r="A12" s="23" t="s">
        <v>30</v>
      </c>
      <c r="B12" s="20">
        <v>11</v>
      </c>
      <c r="D12" s="19"/>
      <c r="E12" s="4"/>
    </row>
    <row r="13" spans="1:5" x14ac:dyDescent="0.25">
      <c r="A13" s="19" t="s">
        <v>31</v>
      </c>
      <c r="B13" s="20">
        <v>12</v>
      </c>
      <c r="D13" s="19"/>
      <c r="E13" s="4"/>
    </row>
    <row r="14" spans="1:5" x14ac:dyDescent="0.25">
      <c r="A14" s="19" t="s">
        <v>32</v>
      </c>
      <c r="B14" s="20">
        <v>13</v>
      </c>
      <c r="D14" s="19"/>
      <c r="E14" s="4"/>
    </row>
    <row r="15" spans="1:5" x14ac:dyDescent="0.25">
      <c r="A15" s="19" t="s">
        <v>33</v>
      </c>
      <c r="B15" s="20">
        <v>14</v>
      </c>
      <c r="D15" s="19"/>
      <c r="E15" s="4"/>
    </row>
    <row r="16" spans="1:5" x14ac:dyDescent="0.25">
      <c r="A16" s="23" t="s">
        <v>34</v>
      </c>
      <c r="B16" s="20">
        <v>15</v>
      </c>
      <c r="D16" s="23"/>
      <c r="E16" s="24"/>
    </row>
    <row r="17" spans="1:2" x14ac:dyDescent="0.25">
      <c r="A17" s="9"/>
      <c r="B17" s="10"/>
    </row>
    <row r="18" spans="1:2" x14ac:dyDescent="0.25">
      <c r="A18" s="9"/>
      <c r="B18" s="10"/>
    </row>
    <row r="19" spans="1:2" x14ac:dyDescent="0.25">
      <c r="A19" s="9"/>
      <c r="B19" s="10"/>
    </row>
    <row r="20" spans="1:2" x14ac:dyDescent="0.25">
      <c r="A20" s="9"/>
      <c r="B20" s="10"/>
    </row>
    <row r="21" spans="1:2" x14ac:dyDescent="0.25">
      <c r="A21" s="9"/>
      <c r="B21" s="10"/>
    </row>
    <row r="22" spans="1:2" x14ac:dyDescent="0.25">
      <c r="A22" s="9"/>
      <c r="B22" s="10"/>
    </row>
    <row r="23" spans="1:2" x14ac:dyDescent="0.25">
      <c r="A23" s="9"/>
      <c r="B23" s="10"/>
    </row>
    <row r="24" spans="1:2" x14ac:dyDescent="0.25">
      <c r="A24" s="9"/>
      <c r="B24" s="10"/>
    </row>
    <row r="25" spans="1:2" x14ac:dyDescent="0.25">
      <c r="A25" s="9"/>
      <c r="B25" s="10"/>
    </row>
    <row r="26" spans="1:2" x14ac:dyDescent="0.25">
      <c r="A26" s="9"/>
      <c r="B26" s="10"/>
    </row>
    <row r="27" spans="1:2" x14ac:dyDescent="0.25">
      <c r="A27" s="9"/>
      <c r="B27" s="10"/>
    </row>
    <row r="28" spans="1:2" x14ac:dyDescent="0.25">
      <c r="A28" s="9"/>
      <c r="B28" s="10"/>
    </row>
    <row r="29" spans="1:2" x14ac:dyDescent="0.25">
      <c r="A29" s="9"/>
      <c r="B29" s="10"/>
    </row>
    <row r="30" spans="1:2" x14ac:dyDescent="0.25">
      <c r="A30" s="9"/>
      <c r="B30" s="10"/>
    </row>
    <row r="31" spans="1:2" x14ac:dyDescent="0.25">
      <c r="A31" s="9"/>
      <c r="B31" s="10"/>
    </row>
    <row r="32" spans="1:2" ht="15.75" thickBot="1" x14ac:dyDescent="0.3">
      <c r="A32" s="11"/>
      <c r="B32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Choix</vt:lpstr>
      <vt:lpstr>Resultat avec racine</vt:lpstr>
      <vt:lpstr>Resultat sans Racines</vt:lpstr>
      <vt:lpstr>Feuil1</vt:lpstr>
      <vt:lpstr>Id Projet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</dc:creator>
  <cp:lastModifiedBy>remi</cp:lastModifiedBy>
  <dcterms:created xsi:type="dcterms:W3CDTF">2020-11-01T13:06:58Z</dcterms:created>
  <dcterms:modified xsi:type="dcterms:W3CDTF">2020-11-09T17:45:51Z</dcterms:modified>
</cp:coreProperties>
</file>